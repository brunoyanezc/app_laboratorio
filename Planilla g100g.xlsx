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2807AB7C-BF54-454A-996A-A3D6DC5D5712}" xr6:coauthVersionLast="47" xr6:coauthVersionMax="47" xr10:uidLastSave="{00000000-0000-0000-0000-000000000000}"/>
  <bookViews>
    <workbookView xWindow="20" yWindow="20" windowWidth="19180" windowHeight="11260" xr2:uid="{00000000-000D-0000-FFFF-FFFF00000000}"/>
  </bookViews>
  <sheets>
    <sheet name="Tipo" sheetId="2" r:id="rId1"/>
    <sheet name="Resultados" sheetId="8" r:id="rId2"/>
    <sheet name="Concentración C23" sheetId="6" r:id="rId3"/>
    <sheet name="AFOCR_AC_GRASOS_A (CCLAS)" sheetId="12" r:id="rId4"/>
    <sheet name="AFOCR_AC_GRASOS_100G (CCLAS)" sheetId="13" state="hidden" r:id="rId5"/>
    <sheet name="Reporte GC" sheetId="7" r:id="rId6"/>
  </sheets>
  <definedNames>
    <definedName name="_xlnm._FilterDatabase" localSheetId="0" hidden="1">Tipo!$A$1:$L$51</definedName>
    <definedName name="Report01" localSheetId="5" hidden="1">'Reporte GC'!$A$1:$K$49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2" l="1"/>
  <c r="CI6" i="12" s="1"/>
  <c r="H13" i="6" l="1"/>
  <c r="H8" i="6"/>
  <c r="S57" i="7"/>
  <c r="S58" i="7"/>
  <c r="D50" i="2"/>
  <c r="D49" i="2"/>
  <c r="D48" i="2"/>
  <c r="D47" i="2"/>
  <c r="D45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H6" i="12"/>
  <c r="AR5" i="13"/>
  <c r="N21" i="2" l="1"/>
  <c r="H12" i="6" l="1"/>
  <c r="H14" i="6" s="1"/>
  <c r="H15" i="6" s="1"/>
  <c r="C2" i="6" s="1"/>
  <c r="H9" i="6"/>
  <c r="C6" i="6" l="1"/>
  <c r="C5" i="6"/>
  <c r="C7" i="6"/>
  <c r="C4" i="8" s="1"/>
  <c r="C8" i="6"/>
  <c r="C5" i="8" s="1"/>
  <c r="C9" i="6"/>
  <c r="C11" i="6"/>
  <c r="C8" i="8" s="1"/>
  <c r="C12" i="6"/>
  <c r="C9" i="8" s="1"/>
  <c r="C13" i="6"/>
  <c r="C10" i="8" s="1"/>
  <c r="C14" i="6"/>
  <c r="C11" i="8" s="1"/>
  <c r="C15" i="6"/>
  <c r="C12" i="8" s="1"/>
  <c r="C16" i="6"/>
  <c r="C13" i="8" s="1"/>
  <c r="C17" i="6"/>
  <c r="C14" i="8" s="1"/>
  <c r="C10" i="6"/>
  <c r="C7" i="8" s="1"/>
  <c r="C37" i="6"/>
  <c r="C36" i="6"/>
  <c r="C33" i="8" s="1"/>
  <c r="C35" i="6"/>
  <c r="C32" i="8" s="1"/>
  <c r="C26" i="6"/>
  <c r="C23" i="8" s="1"/>
  <c r="C34" i="6"/>
  <c r="C31" i="8" s="1"/>
  <c r="C27" i="6"/>
  <c r="C24" i="8" s="1"/>
  <c r="C28" i="6"/>
  <c r="C25" i="8" s="1"/>
  <c r="C29" i="6"/>
  <c r="C30" i="6"/>
  <c r="C27" i="8" s="1"/>
  <c r="C23" i="6"/>
  <c r="C20" i="8" s="1"/>
  <c r="C31" i="6"/>
  <c r="C28" i="8" s="1"/>
  <c r="C24" i="6"/>
  <c r="C21" i="8" s="1"/>
  <c r="C32" i="6"/>
  <c r="C29" i="8" s="1"/>
  <c r="C25" i="6"/>
  <c r="C22" i="8" s="1"/>
  <c r="C33" i="6"/>
  <c r="C30" i="8" s="1"/>
  <c r="C22" i="6"/>
  <c r="C19" i="8" s="1"/>
  <c r="C18" i="6"/>
  <c r="C15" i="8" s="1"/>
  <c r="C21" i="6"/>
  <c r="C18" i="8" s="1"/>
  <c r="C20" i="6"/>
  <c r="C17" i="8" s="1"/>
  <c r="C19" i="6"/>
  <c r="C16" i="8" s="1"/>
  <c r="C6" i="8" l="1"/>
  <c r="C3" i="8"/>
  <c r="C26" i="8"/>
  <c r="C2" i="8"/>
  <c r="P21" i="2" s="1"/>
  <c r="O21" i="2"/>
  <c r="F34" i="2" s="1"/>
  <c r="G34" i="2" s="1"/>
  <c r="C34" i="8"/>
  <c r="H38" i="2"/>
  <c r="L2" i="2"/>
  <c r="AI6" i="12" l="1"/>
  <c r="F30" i="2"/>
  <c r="G30" i="2" s="1"/>
  <c r="F45" i="2"/>
  <c r="G45" i="2" s="1"/>
  <c r="F39" i="2"/>
  <c r="G39" i="2" s="1"/>
  <c r="F33" i="2"/>
  <c r="G33" i="2" s="1"/>
  <c r="F7" i="2"/>
  <c r="G7" i="2" s="1"/>
  <c r="F23" i="2"/>
  <c r="G23" i="2" s="1"/>
  <c r="F48" i="2"/>
  <c r="G48" i="2" s="1"/>
  <c r="F13" i="2"/>
  <c r="G13" i="2" s="1"/>
  <c r="F2" i="2"/>
  <c r="G2" i="2" s="1"/>
  <c r="F49" i="2"/>
  <c r="G49" i="2" s="1"/>
  <c r="F26" i="2"/>
  <c r="G26" i="2" s="1"/>
  <c r="F24" i="2"/>
  <c r="G24" i="2" s="1"/>
  <c r="F44" i="2"/>
  <c r="G44" i="2" s="1"/>
  <c r="F46" i="2"/>
  <c r="G46" i="2" s="1"/>
  <c r="F50" i="2"/>
  <c r="G50" i="2" s="1"/>
  <c r="F38" i="2"/>
  <c r="G38" i="2" s="1"/>
  <c r="F40" i="2"/>
  <c r="G40" i="2" s="1"/>
  <c r="F28" i="2"/>
  <c r="G28" i="2" s="1"/>
  <c r="F11" i="2"/>
  <c r="G11" i="2" s="1"/>
  <c r="F42" i="2"/>
  <c r="G42" i="2" s="1"/>
  <c r="F21" i="2"/>
  <c r="G21" i="2" s="1"/>
  <c r="F47" i="2"/>
  <c r="G47" i="2" s="1"/>
  <c r="F32" i="2"/>
  <c r="G32" i="2" s="1"/>
  <c r="F25" i="2"/>
  <c r="G25" i="2" s="1"/>
  <c r="F51" i="2"/>
  <c r="F27" i="2"/>
  <c r="G27" i="2" s="1"/>
  <c r="F6" i="2"/>
  <c r="G6" i="2" s="1"/>
  <c r="F31" i="2"/>
  <c r="G31" i="2" s="1"/>
  <c r="F22" i="2"/>
  <c r="G22" i="2" s="1"/>
  <c r="F16" i="2"/>
  <c r="G16" i="2" s="1"/>
  <c r="F41" i="2"/>
  <c r="G41" i="2" s="1"/>
  <c r="F18" i="2"/>
  <c r="G18" i="2" s="1"/>
  <c r="F29" i="2"/>
  <c r="G29" i="2" s="1"/>
  <c r="F17" i="2"/>
  <c r="G17" i="2" s="1"/>
  <c r="F36" i="2"/>
  <c r="G36" i="2" s="1"/>
  <c r="F19" i="2"/>
  <c r="G19" i="2" s="1"/>
  <c r="F8" i="2"/>
  <c r="G8" i="2" s="1"/>
  <c r="F5" i="2"/>
  <c r="G5" i="2" s="1"/>
  <c r="F35" i="2"/>
  <c r="G35" i="2" s="1"/>
  <c r="F12" i="2"/>
  <c r="G12" i="2" s="1"/>
  <c r="F15" i="2"/>
  <c r="G15" i="2" s="1"/>
  <c r="F4" i="2"/>
  <c r="G4" i="2" s="1"/>
  <c r="F37" i="2"/>
  <c r="G37" i="2" s="1"/>
  <c r="F14" i="2"/>
  <c r="G14" i="2" s="1"/>
  <c r="F43" i="2"/>
  <c r="G43" i="2" s="1"/>
  <c r="F9" i="2"/>
  <c r="G9" i="2" s="1"/>
  <c r="F10" i="2"/>
  <c r="G10" i="2" s="1"/>
  <c r="F3" i="2"/>
  <c r="G3" i="2" s="1"/>
  <c r="F20" i="2"/>
  <c r="G20" i="2" s="1"/>
  <c r="L3" i="2"/>
  <c r="L4" i="2" l="1"/>
  <c r="L5" i="2" s="1"/>
  <c r="L6" i="2" s="1"/>
  <c r="L7" i="2" s="1"/>
  <c r="L8" i="2" s="1"/>
  <c r="L9" i="2" s="1"/>
  <c r="L10" i="2" s="1"/>
  <c r="CE6" i="12"/>
  <c r="AO6" i="12"/>
  <c r="CM6" i="12"/>
  <c r="BU6" i="12"/>
  <c r="AY6" i="12"/>
  <c r="CO6" i="12"/>
  <c r="BG6" i="12"/>
  <c r="BA6" i="12"/>
  <c r="BY6" i="12"/>
  <c r="CK6" i="12"/>
  <c r="CS6" i="12"/>
  <c r="AM6" i="12"/>
  <c r="CU6" i="12"/>
  <c r="AS6" i="12"/>
  <c r="CC6" i="12"/>
  <c r="AA6" i="12"/>
  <c r="O6" i="12"/>
  <c r="E6" i="12"/>
  <c r="G6" i="12"/>
  <c r="S6" i="12"/>
  <c r="Y6" i="12"/>
  <c r="AW6" i="12"/>
  <c r="CA6" i="12"/>
  <c r="BI6" i="12"/>
  <c r="BM6" i="12"/>
  <c r="M6" i="12"/>
  <c r="BW6" i="12"/>
  <c r="BO6" i="12"/>
  <c r="I6" i="12"/>
  <c r="AE6" i="12"/>
  <c r="CQ6" i="12"/>
  <c r="CG6" i="12"/>
  <c r="BS6" i="12"/>
  <c r="BE6" i="12"/>
  <c r="AG6" i="12"/>
  <c r="BQ6" i="12"/>
  <c r="AC6" i="12"/>
  <c r="AQ6" i="12"/>
  <c r="AK6" i="12"/>
  <c r="W6" i="12"/>
  <c r="BK6" i="12"/>
  <c r="K6" i="12"/>
  <c r="AU6" i="12"/>
  <c r="U6" i="12"/>
  <c r="Q6" i="12"/>
  <c r="BC6" i="12"/>
  <c r="C6" i="12"/>
  <c r="L11" i="2" l="1"/>
  <c r="J45" i="2"/>
  <c r="L12" i="2" l="1"/>
  <c r="L13" i="2" l="1"/>
  <c r="J46" i="2"/>
  <c r="L14" i="2" l="1"/>
  <c r="J47" i="2"/>
  <c r="L15" i="2" l="1"/>
  <c r="J48" i="2"/>
  <c r="L16" i="2" l="1"/>
  <c r="J49" i="2"/>
  <c r="L17" i="2" l="1"/>
  <c r="J50" i="2"/>
  <c r="L18" i="2" l="1"/>
  <c r="L19" i="2" l="1"/>
  <c r="S59" i="7"/>
  <c r="S60" i="7" s="1"/>
  <c r="L20" i="2" l="1"/>
  <c r="S56" i="7"/>
  <c r="D51" i="2"/>
  <c r="G51" i="2" s="1"/>
  <c r="L21" i="2" l="1"/>
  <c r="D52" i="2"/>
  <c r="I32" i="2" s="1"/>
  <c r="CW6" i="12"/>
  <c r="J51" i="2"/>
  <c r="L22" i="2" l="1"/>
  <c r="L23" i="2" s="1"/>
  <c r="L24" i="2" s="1"/>
  <c r="BJ6" i="12"/>
  <c r="I5" i="2"/>
  <c r="H6" i="12" s="1"/>
  <c r="I26" i="2"/>
  <c r="AX6" i="12" s="1"/>
  <c r="I51" i="2"/>
  <c r="CV6" i="12" s="1"/>
  <c r="I27" i="2"/>
  <c r="I2" i="2"/>
  <c r="B6" i="12" s="1"/>
  <c r="I7" i="2"/>
  <c r="I36" i="2"/>
  <c r="I16" i="2"/>
  <c r="I37" i="2"/>
  <c r="I39" i="2"/>
  <c r="I42" i="2"/>
  <c r="I30" i="2"/>
  <c r="I43" i="2"/>
  <c r="CF6" i="12" s="1"/>
  <c r="I45" i="2"/>
  <c r="I50" i="2"/>
  <c r="I41" i="2"/>
  <c r="CB6" i="12" s="1"/>
  <c r="I47" i="2"/>
  <c r="I28" i="2"/>
  <c r="BB6" i="12" s="1"/>
  <c r="I12" i="2"/>
  <c r="I21" i="2"/>
  <c r="I33" i="2"/>
  <c r="BL6" i="12" s="1"/>
  <c r="I34" i="2"/>
  <c r="BN6" i="12" s="1"/>
  <c r="I9" i="2"/>
  <c r="P6" i="12" s="1"/>
  <c r="I23" i="2"/>
  <c r="I19" i="2"/>
  <c r="I11" i="2"/>
  <c r="T6" i="12" s="1"/>
  <c r="I22" i="2"/>
  <c r="AP6" i="12" s="1"/>
  <c r="I8" i="2"/>
  <c r="I38" i="2"/>
  <c r="BV6" i="12" s="1"/>
  <c r="I48" i="2"/>
  <c r="I31" i="2"/>
  <c r="I17" i="2"/>
  <c r="I24" i="2"/>
  <c r="I13" i="2"/>
  <c r="I20" i="2"/>
  <c r="I4" i="2"/>
  <c r="I6" i="2"/>
  <c r="I29" i="2"/>
  <c r="BD6" i="12" s="1"/>
  <c r="I49" i="2"/>
  <c r="CR6" i="12" s="1"/>
  <c r="I46" i="2"/>
  <c r="I18" i="2"/>
  <c r="I15" i="2"/>
  <c r="I14" i="2"/>
  <c r="I10" i="2"/>
  <c r="R6" i="12" s="1"/>
  <c r="I40" i="2"/>
  <c r="I25" i="2"/>
  <c r="I3" i="2"/>
  <c r="I35" i="2"/>
  <c r="L25" i="2" l="1"/>
  <c r="L26" i="2" s="1"/>
  <c r="L27" i="2" s="1"/>
  <c r="L28" i="2" s="1"/>
  <c r="L29" i="2" s="1"/>
  <c r="O11" i="2"/>
  <c r="CN6" i="12"/>
  <c r="AD6" i="12"/>
  <c r="CD6" i="12"/>
  <c r="AZ6" i="12"/>
  <c r="CP6" i="12"/>
  <c r="CT6" i="12"/>
  <c r="BR6" i="12"/>
  <c r="BH6" i="12"/>
  <c r="L6" i="12"/>
  <c r="CJ6" i="12"/>
  <c r="AB6" i="12"/>
  <c r="BX6" i="12"/>
  <c r="BP6" i="12"/>
  <c r="AF6" i="12"/>
  <c r="AR6" i="12"/>
  <c r="O10" i="2"/>
  <c r="AT6" i="12"/>
  <c r="AJ6" i="12"/>
  <c r="BT6" i="12"/>
  <c r="V6" i="12"/>
  <c r="AH6" i="12"/>
  <c r="O4" i="2"/>
  <c r="O3" i="2"/>
  <c r="O6" i="2"/>
  <c r="D6" i="12"/>
  <c r="F6" i="12"/>
  <c r="X6" i="12"/>
  <c r="O5" i="2"/>
  <c r="O7" i="2"/>
  <c r="AN6" i="12"/>
  <c r="N6" i="12"/>
  <c r="BF6" i="12"/>
  <c r="BZ6" i="12"/>
  <c r="AL6" i="12"/>
  <c r="O8" i="2"/>
  <c r="CL6" i="12"/>
  <c r="O9" i="2"/>
  <c r="Z6" i="12"/>
  <c r="J6" i="12"/>
  <c r="AV6" i="12"/>
  <c r="L30" i="2" l="1"/>
  <c r="O12" i="2"/>
  <c r="L31" i="2" l="1"/>
  <c r="J7" i="2"/>
  <c r="K7" i="2" s="1"/>
  <c r="G5" i="13" s="1"/>
  <c r="J25" i="2"/>
  <c r="K25" i="2" s="1"/>
  <c r="Y5" i="13" s="1"/>
  <c r="J32" i="2"/>
  <c r="J43" i="2"/>
  <c r="J14" i="2"/>
  <c r="K14" i="2" s="1"/>
  <c r="N5" i="13" s="1"/>
  <c r="J20" i="2"/>
  <c r="K20" i="2" s="1"/>
  <c r="T5" i="13" s="1"/>
  <c r="J13" i="2"/>
  <c r="K13" i="2" s="1"/>
  <c r="M5" i="13" s="1"/>
  <c r="J5" i="2"/>
  <c r="K5" i="2" s="1"/>
  <c r="E5" i="13" s="1"/>
  <c r="J26" i="2"/>
  <c r="K26" i="2" s="1"/>
  <c r="Z5" i="13" s="1"/>
  <c r="J42" i="2"/>
  <c r="J9" i="2"/>
  <c r="K9" i="2" s="1"/>
  <c r="I5" i="13" s="1"/>
  <c r="J4" i="2"/>
  <c r="K4" i="2" s="1"/>
  <c r="D5" i="13" s="1"/>
  <c r="J21" i="2"/>
  <c r="K21" i="2" s="1"/>
  <c r="U5" i="13" s="1"/>
  <c r="J31" i="2"/>
  <c r="J12" i="2"/>
  <c r="K12" i="2" s="1"/>
  <c r="L5" i="13" s="1"/>
  <c r="J22" i="2"/>
  <c r="K22" i="2" s="1"/>
  <c r="V5" i="13" s="1"/>
  <c r="J16" i="2"/>
  <c r="K16" i="2" s="1"/>
  <c r="P5" i="13" s="1"/>
  <c r="J23" i="2"/>
  <c r="K23" i="2" s="1"/>
  <c r="W5" i="13" s="1"/>
  <c r="J27" i="2"/>
  <c r="K27" i="2" s="1"/>
  <c r="AA5" i="13" s="1"/>
  <c r="J39" i="2"/>
  <c r="J29" i="2"/>
  <c r="K29" i="2" s="1"/>
  <c r="AC5" i="13" s="1"/>
  <c r="J17" i="2"/>
  <c r="K17" i="2" s="1"/>
  <c r="Q5" i="13" s="1"/>
  <c r="J38" i="2"/>
  <c r="J10" i="2"/>
  <c r="K10" i="2" s="1"/>
  <c r="J5" i="13" s="1"/>
  <c r="J6" i="2"/>
  <c r="K6" i="2" s="1"/>
  <c r="F5" i="13" s="1"/>
  <c r="J3" i="2"/>
  <c r="K3" i="2" s="1"/>
  <c r="C5" i="13" s="1"/>
  <c r="J11" i="2"/>
  <c r="K11" i="2" s="1"/>
  <c r="K5" i="13" s="1"/>
  <c r="J18" i="2"/>
  <c r="K18" i="2" s="1"/>
  <c r="R5" i="13" s="1"/>
  <c r="J28" i="2"/>
  <c r="K28" i="2" s="1"/>
  <c r="AB5" i="13" s="1"/>
  <c r="J15" i="2"/>
  <c r="K15" i="2" s="1"/>
  <c r="J8" i="2"/>
  <c r="K8" i="2" s="1"/>
  <c r="H5" i="13" s="1"/>
  <c r="J19" i="2"/>
  <c r="K19" i="2" s="1"/>
  <c r="S5" i="13" s="1"/>
  <c r="J30" i="2"/>
  <c r="K30" i="2" s="1"/>
  <c r="AD5" i="13" s="1"/>
  <c r="J41" i="2"/>
  <c r="J24" i="2"/>
  <c r="K24" i="2" s="1"/>
  <c r="J40" i="2"/>
  <c r="L32" i="2" l="1"/>
  <c r="K32" i="2" s="1"/>
  <c r="AF5" i="13" s="1"/>
  <c r="K31" i="2"/>
  <c r="AE5" i="13" s="1"/>
  <c r="X5" i="13"/>
  <c r="O5" i="13"/>
  <c r="J33" i="2"/>
  <c r="J34" i="2"/>
  <c r="J35" i="2"/>
  <c r="J36" i="2"/>
  <c r="J37" i="2"/>
  <c r="J2" i="2"/>
  <c r="K2" i="2" s="1"/>
  <c r="L33" i="2" l="1"/>
  <c r="L34" i="2" s="1"/>
  <c r="K34" i="2" s="1"/>
  <c r="AH5" i="13" s="1"/>
  <c r="B5" i="13"/>
  <c r="K33" i="2" l="1"/>
  <c r="AG5" i="13" s="1"/>
  <c r="L35" i="2"/>
  <c r="L36" i="2" l="1"/>
  <c r="K35" i="2"/>
  <c r="AI5" i="13" l="1"/>
  <c r="L37" i="2"/>
  <c r="K36" i="2"/>
  <c r="AJ5" i="13" l="1"/>
  <c r="L38" i="2"/>
  <c r="K37" i="2"/>
  <c r="L39" i="2" l="1"/>
  <c r="K38" i="2"/>
  <c r="AK5" i="13"/>
  <c r="AL5" i="13" l="1"/>
  <c r="W40" i="2"/>
  <c r="L40" i="2"/>
  <c r="K39" i="2"/>
  <c r="AM5" i="13" l="1"/>
  <c r="L41" i="2"/>
  <c r="K40" i="2"/>
  <c r="AN5" i="13" l="1"/>
  <c r="P7" i="2"/>
  <c r="L42" i="2"/>
  <c r="K41" i="2"/>
  <c r="AO5" i="13" l="1"/>
  <c r="L43" i="2"/>
  <c r="K42" i="2"/>
  <c r="AP5" i="13" l="1"/>
  <c r="L44" i="2"/>
  <c r="L45" i="2" s="1"/>
  <c r="K43" i="2"/>
  <c r="AQ5" i="13" l="1"/>
  <c r="L46" i="2"/>
  <c r="K45" i="2"/>
  <c r="AS5" i="13" l="1"/>
  <c r="L47" i="2"/>
  <c r="K46" i="2"/>
  <c r="AT5" i="13" l="1"/>
  <c r="P10" i="2"/>
  <c r="L48" i="2"/>
  <c r="K47" i="2"/>
  <c r="AU5" i="13" l="1"/>
  <c r="L49" i="2"/>
  <c r="K48" i="2"/>
  <c r="AV5" i="13" l="1"/>
  <c r="P4" i="2"/>
  <c r="L50" i="2"/>
  <c r="K49" i="2"/>
  <c r="AW5" i="13" l="1"/>
  <c r="P8" i="2"/>
  <c r="P6" i="2"/>
  <c r="P9" i="2"/>
  <c r="P12" i="2" s="1"/>
  <c r="L51" i="2"/>
  <c r="K50" i="2"/>
  <c r="AX5" i="13" l="1"/>
  <c r="P3" i="2"/>
  <c r="P5" i="2"/>
  <c r="K51" i="2"/>
  <c r="P11" i="2" l="1"/>
  <c r="AY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3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 Rojo los ECF</t>
        </r>
      </text>
    </comment>
    <comment ref="E3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 Rojo los ECF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494E20-FDEE-41F8-8BCA-9E1B30AE0AF9}" sourceFile="C:\Users\Bruno_Yanez\Desktop\Supervisión VP SGS\Resultados aceite Castro\05 06 2025 PAG 2025-06-05 17-29-21\OSO1R1.D\Report01.xls" keepAlive="1" name="Report01" type="5" refreshedVersion="8" background="1" saveData="1">
    <dbPr connection="Provider=Microsoft.ACE.OLEDB.12.0;User ID=Admin;Data Source=C:\Users\Bruno_Yanez\Desktop\Supervisión VP SGS\Resultados aceite Castro\05 06 2025 PAG 2025-06-05 17-29-21\OSO1R1.D\Report01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PeakSumCalcT1$" commandType="3"/>
  </connection>
</connections>
</file>

<file path=xl/sharedStrings.xml><?xml version="1.0" encoding="utf-8"?>
<sst xmlns="http://schemas.openxmlformats.org/spreadsheetml/2006/main" count="448" uniqueCount="151">
  <si>
    <t>Tipo</t>
  </si>
  <si>
    <t>ID</t>
  </si>
  <si>
    <t>R Time</t>
  </si>
  <si>
    <t>Area FAMEx</t>
  </si>
  <si>
    <t>TCF (Rx)</t>
  </si>
  <si>
    <t>W TAG is</t>
  </si>
  <si>
    <t>WFAMEX</t>
  </si>
  <si>
    <t>F FAx</t>
  </si>
  <si>
    <t>% Area</t>
  </si>
  <si>
    <t>W x</t>
  </si>
  <si>
    <t>Wts (g)</t>
  </si>
  <si>
    <t>PARAMETRO</t>
  </si>
  <si>
    <t>%FAME</t>
  </si>
  <si>
    <t>g ac. g./100 g grasa</t>
  </si>
  <si>
    <t>Sat</t>
  </si>
  <si>
    <t>C4:0</t>
  </si>
  <si>
    <t>Total Ac. Grasos</t>
  </si>
  <si>
    <t>C6:0</t>
  </si>
  <si>
    <t>Grasa saturadas</t>
  </si>
  <si>
    <t>C8:0</t>
  </si>
  <si>
    <t>Grasa cis_monoinsaturadas</t>
  </si>
  <si>
    <t>C10:0</t>
  </si>
  <si>
    <t>Grasa cis poliinsaturadas</t>
  </si>
  <si>
    <t>C11:0</t>
  </si>
  <si>
    <t>Grasa EPA (C20:5)</t>
  </si>
  <si>
    <t>C12:0</t>
  </si>
  <si>
    <t>Grasa DHA (C22:6)</t>
  </si>
  <si>
    <t>C13.0</t>
  </si>
  <si>
    <t xml:space="preserve">W-3PUFAs </t>
  </si>
  <si>
    <t>C14:0</t>
  </si>
  <si>
    <t>W-6PUFAs</t>
  </si>
  <si>
    <t>M.insat</t>
  </si>
  <si>
    <t>C14:1</t>
  </si>
  <si>
    <t>No Identificados</t>
  </si>
  <si>
    <t>C15:0</t>
  </si>
  <si>
    <t>W6/W3</t>
  </si>
  <si>
    <t>C15:1</t>
  </si>
  <si>
    <t>C16:0</t>
  </si>
  <si>
    <t>C16:1</t>
  </si>
  <si>
    <t>P.insat</t>
  </si>
  <si>
    <t>C17:0</t>
  </si>
  <si>
    <t>C17:1</t>
  </si>
  <si>
    <t>C18:0</t>
  </si>
  <si>
    <t>grasa a metilar [g]</t>
  </si>
  <si>
    <t>Masa C23:0 [g]</t>
  </si>
  <si>
    <t>C18:1n9</t>
  </si>
  <si>
    <t>Trans</t>
  </si>
  <si>
    <t>C18:1t</t>
  </si>
  <si>
    <t>C18:1n7</t>
  </si>
  <si>
    <t>C18:2n6</t>
  </si>
  <si>
    <t>C18:2t+t</t>
  </si>
  <si>
    <t>C18:3n6</t>
  </si>
  <si>
    <t>C18:3n4</t>
  </si>
  <si>
    <t>C18:3n3</t>
  </si>
  <si>
    <t>C18:4 n3</t>
  </si>
  <si>
    <t>C20:0</t>
  </si>
  <si>
    <t>C20:1n11+</t>
  </si>
  <si>
    <t>C20:1n9</t>
  </si>
  <si>
    <t>C20:2n6</t>
  </si>
  <si>
    <t>C20:3n6</t>
  </si>
  <si>
    <t>C21:0</t>
  </si>
  <si>
    <t>C20:4n6</t>
  </si>
  <si>
    <t>C20:3n3</t>
  </si>
  <si>
    <t>C20:5n3</t>
  </si>
  <si>
    <t>C22:0</t>
  </si>
  <si>
    <t>C22:1n9</t>
  </si>
  <si>
    <t>C22:2n6</t>
  </si>
  <si>
    <t>C23:0</t>
  </si>
  <si>
    <t>C24:0</t>
  </si>
  <si>
    <t>C22:6n3</t>
  </si>
  <si>
    <t>C24:1</t>
  </si>
  <si>
    <t>Unknow</t>
  </si>
  <si>
    <t>-</t>
  </si>
  <si>
    <t>Área total</t>
  </si>
  <si>
    <t>% NI</t>
  </si>
  <si>
    <t>*NI = No identificados</t>
  </si>
  <si>
    <t>% AG</t>
  </si>
  <si>
    <t>*AG = Ácidos grasos</t>
  </si>
  <si>
    <t>At sin NI</t>
  </si>
  <si>
    <t>*At = Área total</t>
  </si>
  <si>
    <t>At con NI</t>
  </si>
  <si>
    <t>Área  NI</t>
  </si>
  <si>
    <t>Job</t>
  </si>
  <si>
    <t>Masa SI [g]</t>
  </si>
  <si>
    <t>Datos de entrada</t>
  </si>
  <si>
    <t>[C23:0] en solucion</t>
  </si>
  <si>
    <t>g de C23/g de solucion</t>
  </si>
  <si>
    <t>Densidad ISOCTANO</t>
  </si>
  <si>
    <t>a 20°C</t>
  </si>
  <si>
    <t>g/ml</t>
  </si>
  <si>
    <t>Concentracion mg/ml</t>
  </si>
  <si>
    <t>Peso C23</t>
  </si>
  <si>
    <t>g</t>
  </si>
  <si>
    <t>Aforo</t>
  </si>
  <si>
    <t>ml</t>
  </si>
  <si>
    <t>mg/ml</t>
  </si>
  <si>
    <t>Correccion Pureza</t>
  </si>
  <si>
    <t>Concentracion: g de c23/1 g de isoctano</t>
  </si>
  <si>
    <t>Concentración en masa</t>
  </si>
  <si>
    <t>g/g</t>
  </si>
  <si>
    <t>Concentración corregida por pureza</t>
  </si>
  <si>
    <t>XLS</t>
  </si>
  <si>
    <t>grasa Qco [g/100]</t>
  </si>
  <si>
    <t>JOB*</t>
  </si>
  <si>
    <t>Grasa a metilar [g]</t>
  </si>
  <si>
    <t>% AreaNOIDENT.</t>
  </si>
  <si>
    <t>Ácidos grasos [µg/g] (sólo biotas)</t>
  </si>
  <si>
    <t>Masa solución C23 [g]</t>
  </si>
  <si>
    <t>Masa C23 [g]</t>
  </si>
  <si>
    <t xml:space="preserve">                                  </t>
  </si>
  <si>
    <t>g/100g Ac g [% p/p]</t>
  </si>
  <si>
    <t>C16:2n4</t>
  </si>
  <si>
    <t>C16:3n4</t>
  </si>
  <si>
    <t>C18:2n4</t>
  </si>
  <si>
    <t>C20:4n3</t>
  </si>
  <si>
    <t>C21:5n3</t>
  </si>
  <si>
    <t>C22:5n6</t>
  </si>
  <si>
    <t>C22:5n3</t>
  </si>
  <si>
    <t>C16:4n1</t>
  </si>
  <si>
    <t>Cargar hoja "PeakSumCalcT1$" en celda "A1" yendo a Datos-&gt;Conexiones existentes-&gt;Examinar-&gt;Report01.xls (Asociado a resultados que entrega el GC)</t>
  </si>
  <si>
    <t>XLS g/100g</t>
  </si>
  <si>
    <t>EPA</t>
  </si>
  <si>
    <t>DHA</t>
  </si>
  <si>
    <t>HeaderName</t>
  </si>
  <si>
    <t>HeaderValue</t>
  </si>
  <si>
    <t>segName</t>
  </si>
  <si>
    <t>Timestart</t>
  </si>
  <si>
    <t>Timeend</t>
  </si>
  <si>
    <t>Height</t>
  </si>
  <si>
    <t>Area</t>
  </si>
  <si>
    <t>PPM</t>
  </si>
  <si>
    <t>ISTDName</t>
  </si>
  <si>
    <t>RF</t>
  </si>
  <si>
    <t>Signal</t>
  </si>
  <si>
    <t>NumberOfRows</t>
  </si>
  <si>
    <t>NumberOfCol</t>
  </si>
  <si>
    <t>NumberOfHead</t>
  </si>
  <si>
    <t>Modified</t>
  </si>
  <si>
    <t>total</t>
  </si>
  <si>
    <t>total1</t>
  </si>
  <si>
    <t>multiplier</t>
  </si>
  <si>
    <t>dilution</t>
  </si>
  <si>
    <t>sampleAmt</t>
  </si>
  <si>
    <t>TotPeakResponse</t>
  </si>
  <si>
    <t>C13:0</t>
  </si>
  <si>
    <t>C18:1n9t</t>
  </si>
  <si>
    <t>C18:2n6t</t>
  </si>
  <si>
    <t>C18:4n3</t>
  </si>
  <si>
    <t>C20:1n11</t>
  </si>
  <si>
    <t>C24:1n9</t>
  </si>
  <si>
    <t>OSO1R1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</si>
</sst>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00"/>
    <numFmt numFmtId="166" formatCode="#,##0.00000"/>
    <numFmt numFmtId="167" formatCode="0.000"/>
    <numFmt numFmtId="168" formatCode="0.000000"/>
    <numFmt numFmtId="169" formatCode="0.000000000"/>
    <numFmt numFmtId="170" formatCode="0.00000000"/>
    <numFmt numFmtId="171" formatCode="0.0000000"/>
  </numFmts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Courier New"/>
      <family val="3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Times New Roman"/>
      <family val="1"/>
    </font>
    <font>
      <sz val="10"/>
      <color rgb="FF00B050"/>
      <name val="Courier New"/>
      <family val="3"/>
    </font>
    <font>
      <b/>
      <sz val="11"/>
      <color theme="8" tint="-0.499984740745262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2" xfId="0" applyBorder="1"/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165" fontId="4" fillId="0" borderId="0" xfId="0" applyNumberFormat="1" applyFont="1" applyAlignment="1" applyProtection="1">
      <alignment horizontal="right" vertical="center" wrapText="1"/>
      <protection locked="0"/>
    </xf>
    <xf numFmtId="0" fontId="0" fillId="0" borderId="0" xfId="0" applyAlignment="1" applyProtection="1">
      <alignment horizontal="center"/>
      <protection locked="0"/>
    </xf>
    <xf numFmtId="165" fontId="0" fillId="0" borderId="0" xfId="0" applyNumberFormat="1" applyProtection="1">
      <protection locked="0"/>
    </xf>
    <xf numFmtId="165" fontId="9" fillId="0" borderId="0" xfId="0" applyNumberFormat="1" applyFont="1" applyAlignment="1" applyProtection="1">
      <alignment horizontal="right" vertical="center" wrapText="1"/>
      <protection locked="0"/>
    </xf>
    <xf numFmtId="165" fontId="9" fillId="0" borderId="0" xfId="0" applyNumberFormat="1" applyFont="1" applyProtection="1">
      <protection locked="0"/>
    </xf>
    <xf numFmtId="167" fontId="0" fillId="0" borderId="0" xfId="0" applyNumberFormat="1"/>
    <xf numFmtId="0" fontId="2" fillId="0" borderId="0" xfId="0" applyFont="1"/>
    <xf numFmtId="164" fontId="2" fillId="12" borderId="0" xfId="0" applyNumberFormat="1" applyFont="1" applyFill="1"/>
    <xf numFmtId="164" fontId="2" fillId="14" borderId="0" xfId="0" applyNumberFormat="1" applyFont="1" applyFill="1"/>
    <xf numFmtId="164" fontId="2" fillId="2" borderId="0" xfId="0" applyNumberFormat="1" applyFont="1" applyFill="1"/>
    <xf numFmtId="0" fontId="2" fillId="2" borderId="0" xfId="0" applyFont="1" applyFill="1"/>
    <xf numFmtId="164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0" fontId="0" fillId="10" borderId="0" xfId="0" applyFill="1"/>
    <xf numFmtId="166" fontId="0" fillId="0" borderId="0" xfId="0" applyNumberFormat="1"/>
    <xf numFmtId="16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22" borderId="11" xfId="0" applyFill="1" applyBorder="1"/>
    <xf numFmtId="0" fontId="0" fillId="22" borderId="12" xfId="0" applyFill="1" applyBorder="1"/>
    <xf numFmtId="0" fontId="0" fillId="22" borderId="13" xfId="0" applyFill="1" applyBorder="1"/>
    <xf numFmtId="168" fontId="0" fillId="22" borderId="12" xfId="0" applyNumberFormat="1" applyFill="1" applyBorder="1"/>
    <xf numFmtId="164" fontId="0" fillId="0" borderId="2" xfId="0" applyNumberFormat="1" applyBorder="1"/>
    <xf numFmtId="0" fontId="0" fillId="0" borderId="14" xfId="0" applyBorder="1"/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65" fontId="17" fillId="0" borderId="0" xfId="0" applyNumberFormat="1" applyFont="1" applyAlignment="1" applyProtection="1">
      <alignment horizontal="right"/>
      <protection locked="0"/>
    </xf>
    <xf numFmtId="165" fontId="17" fillId="0" borderId="0" xfId="0" applyNumberFormat="1" applyFont="1" applyProtection="1">
      <protection locked="0"/>
    </xf>
    <xf numFmtId="165" fontId="8" fillId="0" borderId="0" xfId="0" applyNumberFormat="1" applyFont="1" applyAlignment="1" applyProtection="1">
      <alignment horizontal="right" vertical="top"/>
      <protection locked="0"/>
    </xf>
    <xf numFmtId="0" fontId="14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8" fillId="0" borderId="0" xfId="0" applyFont="1"/>
    <xf numFmtId="0" fontId="7" fillId="0" borderId="0" xfId="0" applyFont="1"/>
    <xf numFmtId="167" fontId="2" fillId="0" borderId="0" xfId="0" applyNumberFormat="1" applyFont="1"/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vertical="top"/>
      <protection locked="0"/>
    </xf>
    <xf numFmtId="0" fontId="2" fillId="0" borderId="9" xfId="0" applyFont="1" applyBorder="1"/>
    <xf numFmtId="169" fontId="2" fillId="2" borderId="0" xfId="0" applyNumberFormat="1" applyFont="1" applyFill="1"/>
    <xf numFmtId="167" fontId="0" fillId="0" borderId="0" xfId="0" applyNumberFormat="1" applyAlignment="1">
      <alignment horizontal="center"/>
    </xf>
    <xf numFmtId="165" fontId="2" fillId="2" borderId="0" xfId="0" applyNumberFormat="1" applyFont="1" applyFill="1" applyAlignment="1">
      <alignment horizontal="center"/>
    </xf>
    <xf numFmtId="170" fontId="0" fillId="0" borderId="0" xfId="0" applyNumberFormat="1"/>
    <xf numFmtId="171" fontId="0" fillId="0" borderId="2" xfId="0" applyNumberFormat="1" applyBorder="1"/>
    <xf numFmtId="0" fontId="0" fillId="23" borderId="10" xfId="0" applyFill="1" applyBorder="1"/>
    <xf numFmtId="167" fontId="0" fillId="23" borderId="2" xfId="0" applyNumberFormat="1" applyFill="1" applyBorder="1"/>
    <xf numFmtId="0" fontId="2" fillId="0" borderId="2" xfId="0" applyFont="1" applyBorder="1" applyProtection="1">
      <protection locked="0"/>
    </xf>
    <xf numFmtId="0" fontId="2" fillId="13" borderId="2" xfId="0" applyFont="1" applyFill="1" applyBorder="1" applyProtection="1">
      <protection locked="0"/>
    </xf>
    <xf numFmtId="0" fontId="14" fillId="10" borderId="2" xfId="0" applyFont="1" applyFill="1" applyBorder="1" applyProtection="1">
      <protection locked="0"/>
    </xf>
    <xf numFmtId="0" fontId="13" fillId="0" borderId="2" xfId="0" applyFont="1" applyBorder="1" applyProtection="1">
      <protection locked="0"/>
    </xf>
    <xf numFmtId="0" fontId="18" fillId="0" borderId="2" xfId="0" applyFont="1" applyBorder="1"/>
    <xf numFmtId="0" fontId="7" fillId="0" borderId="2" xfId="0" applyFont="1" applyBorder="1"/>
    <xf numFmtId="0" fontId="0" fillId="2" borderId="2" xfId="0" applyFill="1" applyBorder="1"/>
    <xf numFmtId="0" fontId="11" fillId="10" borderId="2" xfId="0" applyFont="1" applyFill="1" applyBorder="1" applyProtection="1">
      <protection locked="0"/>
    </xf>
    <xf numFmtId="0" fontId="12" fillId="10" borderId="2" xfId="0" applyFont="1" applyFill="1" applyBorder="1" applyProtection="1">
      <protection locked="0"/>
    </xf>
    <xf numFmtId="0" fontId="0" fillId="11" borderId="2" xfId="0" applyFill="1" applyBorder="1"/>
    <xf numFmtId="0" fontId="2" fillId="8" borderId="2" xfId="0" applyFont="1" applyFill="1" applyBorder="1" applyProtection="1">
      <protection locked="0"/>
    </xf>
    <xf numFmtId="0" fontId="6" fillId="0" borderId="2" xfId="0" applyFont="1" applyBorder="1" applyProtection="1">
      <protection locked="0"/>
    </xf>
    <xf numFmtId="0" fontId="0" fillId="9" borderId="2" xfId="0" applyFill="1" applyBorder="1"/>
    <xf numFmtId="0" fontId="2" fillId="18" borderId="2" xfId="0" applyFont="1" applyFill="1" applyBorder="1" applyProtection="1">
      <protection locked="0"/>
    </xf>
    <xf numFmtId="0" fontId="10" fillId="10" borderId="2" xfId="0" applyFont="1" applyFill="1" applyBorder="1" applyProtection="1">
      <protection locked="0"/>
    </xf>
    <xf numFmtId="0" fontId="2" fillId="7" borderId="2" xfId="0" applyFont="1" applyFill="1" applyBorder="1" applyProtection="1">
      <protection locked="0"/>
    </xf>
    <xf numFmtId="0" fontId="2" fillId="12" borderId="2" xfId="0" applyFont="1" applyFill="1" applyBorder="1" applyProtection="1">
      <protection locked="0"/>
    </xf>
    <xf numFmtId="0" fontId="0" fillId="17" borderId="2" xfId="0" applyFill="1" applyBorder="1"/>
    <xf numFmtId="0" fontId="2" fillId="11" borderId="2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2" fillId="5" borderId="2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2" fillId="20" borderId="2" xfId="0" applyFont="1" applyFill="1" applyBorder="1"/>
    <xf numFmtId="3" fontId="2" fillId="19" borderId="2" xfId="0" applyNumberFormat="1" applyFont="1" applyFill="1" applyBorder="1"/>
    <xf numFmtId="0" fontId="2" fillId="6" borderId="2" xfId="0" applyFont="1" applyFill="1" applyBorder="1" applyProtection="1">
      <protection locked="0"/>
    </xf>
    <xf numFmtId="0" fontId="2" fillId="0" borderId="2" xfId="0" applyFont="1" applyBorder="1"/>
    <xf numFmtId="171" fontId="0" fillId="0" borderId="16" xfId="0" applyNumberFormat="1" applyBorder="1"/>
    <xf numFmtId="171" fontId="0" fillId="0" borderId="15" xfId="0" applyNumberFormat="1" applyBorder="1"/>
    <xf numFmtId="164" fontId="2" fillId="0" borderId="15" xfId="0" applyNumberFormat="1" applyFont="1" applyBorder="1"/>
    <xf numFmtId="0" fontId="2" fillId="0" borderId="8" xfId="0" applyFont="1" applyBorder="1"/>
    <xf numFmtId="0" fontId="2" fillId="11" borderId="7" xfId="0" applyFont="1" applyFill="1" applyBorder="1"/>
    <xf numFmtId="168" fontId="2" fillId="11" borderId="15" xfId="0" applyNumberFormat="1" applyFont="1" applyFill="1" applyBorder="1"/>
    <xf numFmtId="0" fontId="2" fillId="11" borderId="8" xfId="0" applyFont="1" applyFill="1" applyBorder="1"/>
    <xf numFmtId="0" fontId="0" fillId="15" borderId="2" xfId="0" applyFill="1" applyBorder="1"/>
    <xf numFmtId="164" fontId="0" fillId="15" borderId="2" xfId="0" applyNumberFormat="1" applyFill="1" applyBorder="1"/>
    <xf numFmtId="0" fontId="0" fillId="15" borderId="2" xfId="0" applyFill="1" applyBorder="1" applyProtection="1">
      <protection locked="0"/>
    </xf>
    <xf numFmtId="0" fontId="0" fillId="15" borderId="15" xfId="0" applyFill="1" applyBorder="1" applyProtection="1">
      <protection locked="0"/>
    </xf>
    <xf numFmtId="0" fontId="2" fillId="15" borderId="0" xfId="0" applyFont="1" applyFill="1" applyAlignment="1">
      <alignment horizontal="center" vertical="center"/>
    </xf>
    <xf numFmtId="0" fontId="0" fillId="21" borderId="17" xfId="0" applyFill="1" applyBorder="1" applyAlignment="1">
      <alignment horizontal="right"/>
    </xf>
    <xf numFmtId="0" fontId="0" fillId="21" borderId="18" xfId="0" applyFill="1" applyBorder="1"/>
    <xf numFmtId="0" fontId="0" fillId="21" borderId="19" xfId="0" applyFill="1" applyBorder="1"/>
    <xf numFmtId="0" fontId="0" fillId="21" borderId="20" xfId="0" applyFill="1" applyBorder="1"/>
    <xf numFmtId="0" fontId="0" fillId="15" borderId="15" xfId="0" applyFill="1" applyBorder="1"/>
    <xf numFmtId="164" fontId="5" fillId="24" borderId="0" xfId="0" applyNumberFormat="1" applyFont="1" applyFill="1"/>
    <xf numFmtId="169" fontId="0" fillId="24" borderId="0" xfId="0" applyNumberFormat="1" applyFill="1"/>
    <xf numFmtId="164" fontId="0" fillId="24" borderId="0" xfId="0" applyNumberFormat="1" applyFill="1"/>
    <xf numFmtId="0" fontId="0" fillId="24" borderId="0" xfId="0" applyFill="1"/>
    <xf numFmtId="164" fontId="1" fillId="24" borderId="0" xfId="0" applyNumberFormat="1" applyFont="1" applyFill="1"/>
    <xf numFmtId="0" fontId="2" fillId="24" borderId="0" xfId="0" applyFont="1" applyFill="1"/>
    <xf numFmtId="2" fontId="2" fillId="24" borderId="0" xfId="0" applyNumberFormat="1" applyFont="1" applyFill="1"/>
    <xf numFmtId="165" fontId="2" fillId="24" borderId="0" xfId="0" applyNumberFormat="1" applyFont="1" applyFill="1"/>
    <xf numFmtId="2" fontId="0" fillId="0" borderId="11" xfId="0" applyNumberFormat="1" applyBorder="1"/>
    <xf numFmtId="0" fontId="0" fillId="0" borderId="13" xfId="0" applyBorder="1"/>
    <xf numFmtId="0" fontId="0" fillId="0" borderId="2" xfId="0" applyBorder="1" applyProtection="1">
      <protection locked="0"/>
    </xf>
    <xf numFmtId="0" fontId="0" fillId="0" borderId="21" xfId="0" applyBorder="1" applyProtection="1">
      <protection locked="0"/>
    </xf>
    <xf numFmtId="0" fontId="0" fillId="25" borderId="0" xfId="0" applyFill="1"/>
    <xf numFmtId="165" fontId="0" fillId="26" borderId="7" xfId="0" applyNumberFormat="1" applyFill="1" applyBorder="1" applyProtection="1">
      <protection locked="0"/>
    </xf>
    <xf numFmtId="0" fontId="0" fillId="26" borderId="8" xfId="0" applyFill="1" applyBorder="1"/>
    <xf numFmtId="0" fontId="2" fillId="0" borderId="14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4" xfId="0" applyFont="1" applyBorder="1"/>
    <xf numFmtId="2" fontId="0" fillId="0" borderId="6" xfId="0" applyNumberFormat="1" applyBorder="1"/>
    <xf numFmtId="2" fontId="0" fillId="0" borderId="23" xfId="0" applyNumberFormat="1" applyBorder="1"/>
    <xf numFmtId="2" fontId="0" fillId="0" borderId="8" xfId="0" applyNumberFormat="1" applyBorder="1"/>
    <xf numFmtId="0" fontId="5" fillId="23" borderId="10" xfId="0" applyFont="1" applyFill="1" applyBorder="1"/>
    <xf numFmtId="167" fontId="5" fillId="23" borderId="10" xfId="0" applyNumberFormat="1" applyFont="1" applyFill="1" applyBorder="1"/>
    <xf numFmtId="167" fontId="0" fillId="23" borderId="10" xfId="0" applyNumberFormat="1" applyFill="1" applyBorder="1"/>
    <xf numFmtId="0" fontId="2" fillId="16" borderId="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16" borderId="1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15" xfId="0" applyNumberFormat="1" applyBorder="1"/>
    <xf numFmtId="164" fontId="0" fillId="0" borderId="8" xfId="0" applyNumberFormat="1" applyBorder="1"/>
    <xf numFmtId="0" fontId="2" fillId="0" borderId="24" xfId="0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2" fillId="13" borderId="18" xfId="0" applyFont="1" applyFill="1" applyBorder="1" applyProtection="1">
      <protection locked="0"/>
    </xf>
    <xf numFmtId="0" fontId="14" fillId="10" borderId="22" xfId="0" applyFont="1" applyFill="1" applyBorder="1" applyProtection="1">
      <protection locked="0"/>
    </xf>
    <xf numFmtId="0" fontId="13" fillId="0" borderId="22" xfId="0" applyFont="1" applyBorder="1" applyProtection="1">
      <protection locked="0"/>
    </xf>
    <xf numFmtId="0" fontId="18" fillId="0" borderId="22" xfId="0" applyFont="1" applyBorder="1"/>
    <xf numFmtId="0" fontId="7" fillId="0" borderId="22" xfId="0" applyFont="1" applyBorder="1"/>
    <xf numFmtId="0" fontId="0" fillId="2" borderId="22" xfId="0" applyFill="1" applyBorder="1"/>
    <xf numFmtId="0" fontId="11" fillId="10" borderId="22" xfId="0" applyFont="1" applyFill="1" applyBorder="1" applyProtection="1">
      <protection locked="0"/>
    </xf>
    <xf numFmtId="0" fontId="12" fillId="10" borderId="22" xfId="0" applyFont="1" applyFill="1" applyBorder="1" applyProtection="1">
      <protection locked="0"/>
    </xf>
    <xf numFmtId="0" fontId="0" fillId="11" borderId="22" xfId="0" applyFill="1" applyBorder="1"/>
    <xf numFmtId="0" fontId="2" fillId="8" borderId="22" xfId="0" applyFont="1" applyFill="1" applyBorder="1" applyProtection="1">
      <protection locked="0"/>
    </xf>
    <xf numFmtId="0" fontId="6" fillId="0" borderId="22" xfId="0" applyFont="1" applyBorder="1" applyProtection="1">
      <protection locked="0"/>
    </xf>
    <xf numFmtId="0" fontId="0" fillId="9" borderId="22" xfId="0" applyFill="1" applyBorder="1"/>
    <xf numFmtId="0" fontId="2" fillId="18" borderId="22" xfId="0" applyFont="1" applyFill="1" applyBorder="1" applyProtection="1">
      <protection locked="0"/>
    </xf>
    <xf numFmtId="0" fontId="10" fillId="10" borderId="22" xfId="0" applyFont="1" applyFill="1" applyBorder="1" applyProtection="1">
      <protection locked="0"/>
    </xf>
    <xf numFmtId="0" fontId="2" fillId="7" borderId="22" xfId="0" applyFont="1" applyFill="1" applyBorder="1" applyProtection="1">
      <protection locked="0"/>
    </xf>
    <xf numFmtId="0" fontId="2" fillId="12" borderId="22" xfId="0" applyFont="1" applyFill="1" applyBorder="1" applyProtection="1">
      <protection locked="0"/>
    </xf>
    <xf numFmtId="0" fontId="0" fillId="17" borderId="22" xfId="0" applyFill="1" applyBorder="1"/>
    <xf numFmtId="0" fontId="2" fillId="11" borderId="22" xfId="0" applyFont="1" applyFill="1" applyBorder="1" applyProtection="1">
      <protection locked="0"/>
    </xf>
    <xf numFmtId="0" fontId="2" fillId="3" borderId="22" xfId="0" applyFont="1" applyFill="1" applyBorder="1" applyProtection="1">
      <protection locked="0"/>
    </xf>
    <xf numFmtId="0" fontId="2" fillId="4" borderId="22" xfId="0" applyFont="1" applyFill="1" applyBorder="1" applyProtection="1">
      <protection locked="0"/>
    </xf>
    <xf numFmtId="0" fontId="2" fillId="5" borderId="22" xfId="0" applyFont="1" applyFill="1" applyBorder="1" applyProtection="1">
      <protection locked="0"/>
    </xf>
    <xf numFmtId="0" fontId="2" fillId="2" borderId="22" xfId="0" applyFont="1" applyFill="1" applyBorder="1" applyProtection="1">
      <protection locked="0"/>
    </xf>
    <xf numFmtId="0" fontId="2" fillId="20" borderId="22" xfId="0" applyFont="1" applyFill="1" applyBorder="1"/>
    <xf numFmtId="3" fontId="2" fillId="19" borderId="22" xfId="0" applyNumberFormat="1" applyFont="1" applyFill="1" applyBorder="1"/>
    <xf numFmtId="0" fontId="2" fillId="6" borderId="22" xfId="0" applyFont="1" applyFill="1" applyBorder="1" applyProtection="1">
      <protection locked="0"/>
    </xf>
    <xf numFmtId="0" fontId="2" fillId="0" borderId="22" xfId="0" applyFont="1" applyBorder="1"/>
    <xf numFmtId="0" fontId="0" fillId="0" borderId="22" xfId="0" applyBorder="1"/>
    <xf numFmtId="1" fontId="0" fillId="15" borderId="5" xfId="0" applyNumberFormat="1" applyFill="1" applyBorder="1"/>
    <xf numFmtId="0" fontId="0" fillId="0" borderId="12" xfId="0" applyBorder="1"/>
    <xf numFmtId="0" fontId="0" fillId="0" borderId="26" xfId="0" applyBorder="1"/>
    <xf numFmtId="0" fontId="0" fillId="0" borderId="27" xfId="0" applyBorder="1"/>
    <xf numFmtId="2" fontId="0" fillId="0" borderId="2" xfId="0" applyNumberFormat="1" applyBorder="1"/>
    <xf numFmtId="2" fontId="0" fillId="0" borderId="25" xfId="0" applyNumberFormat="1" applyBorder="1"/>
    <xf numFmtId="164" fontId="0" fillId="15" borderId="16" xfId="0" applyNumberFormat="1" applyFill="1" applyBorder="1"/>
    <xf numFmtId="0" fontId="0" fillId="0" borderId="28" xfId="0" applyBorder="1"/>
    <xf numFmtId="0" fontId="0" fillId="7" borderId="29" xfId="0" applyFill="1" applyBorder="1"/>
    <xf numFmtId="0" fontId="0" fillId="7" borderId="13" xfId="0" applyFill="1" applyBorder="1"/>
    <xf numFmtId="164" fontId="0" fillId="0" borderId="15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9" xfId="0" applyNumberFormat="1" applyBorder="1"/>
    <xf numFmtId="171" fontId="0" fillId="0" borderId="6" xfId="0" applyNumberFormat="1" applyBorder="1"/>
    <xf numFmtId="171" fontId="0" fillId="0" borderId="8" xfId="0" applyNumberFormat="1" applyBorder="1"/>
    <xf numFmtId="164" fontId="0" fillId="0" borderId="25" xfId="0" applyNumberFormat="1" applyBorder="1"/>
    <xf numFmtId="165" fontId="0" fillId="26" borderId="15" xfId="0" applyNumberFormat="1" applyFill="1" applyBorder="1" applyAlignment="1">
      <alignment horizontal="left"/>
    </xf>
    <xf numFmtId="164" fontId="0" fillId="15" borderId="2" xfId="0" applyNumberFormat="1" applyFill="1" applyBorder="1" applyProtection="1">
      <protection locked="0"/>
    </xf>
    <xf numFmtId="164" fontId="0" fillId="0" borderId="0" xfId="0" applyNumberFormat="1" applyProtection="1">
      <protection locked="0"/>
    </xf>
    <xf numFmtId="167" fontId="0" fillId="0" borderId="0" xfId="0" applyNumberFormat="1" applyProtection="1">
      <protection locked="0"/>
    </xf>
    <xf numFmtId="2" fontId="2" fillId="0" borderId="24" xfId="0" applyNumberFormat="1" applyFont="1" applyBorder="1" applyAlignment="1">
      <alignment horizontal="center" vertical="center"/>
    </xf>
    <xf numFmtId="2" fontId="2" fillId="2" borderId="0" xfId="0" applyNumberFormat="1" applyFont="1" applyFill="1"/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</cellXfs>
  <cellStyles count="1">
    <cellStyle name="Normal" xfId="0" builtinId="0"/>
  </cellStyles>
  <dxfs count="7">
    <dxf>
      <numFmt numFmtId="2" formatCode="0.00"/>
      <protection locked="1" hidden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</dxf>
    <dxf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port01" connectionId="1" xr16:uid="{7F4F9380-587F-4919-99A5-A06BED4F2F61}" autoFormatId="16" applyNumberFormats="0" applyBorderFormats="0" applyFontFormats="0" applyPatternFormats="0" applyAlignmentFormats="0" applyWidthHeightFormats="0">
  <queryTableRefresh nextId="12">
    <queryTableFields count="11">
      <queryTableField id="1" name="HeaderName" tableColumnId="1"/>
      <queryTableField id="2" name="HeaderValue" tableColumnId="2"/>
      <queryTableField id="3" name="segName" tableColumnId="3"/>
      <queryTableField id="4" name="Timestart" tableColumnId="4"/>
      <queryTableField id="5" name="Timeend" tableColumnId="5"/>
      <queryTableField id="6" name="Height" tableColumnId="6"/>
      <queryTableField id="7" name="Area" tableColumnId="7"/>
      <queryTableField id="8" name="PPM" tableColumnId="8"/>
      <queryTableField id="9" name="ISTDName" tableColumnId="9"/>
      <queryTableField id="10" name="RF" tableColumnId="10"/>
      <queryTableField id="11" name="Signal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1326834263" displayName="Tabla1326834263" ref="N1:P13" totalsRowCount="1" headerRowDxfId="6" dataDxfId="5">
  <autoFilter ref="N1:P12" xr:uid="{00000000-0009-0000-0100-000002000000}"/>
  <tableColumns count="3">
    <tableColumn id="1" xr3:uid="{00000000-0010-0000-0000-000001000000}" name="PARAMETRO" dataDxfId="4" totalsRowDxfId="3"/>
    <tableColumn id="2" xr3:uid="{00000000-0010-0000-0000-000002000000}" name="%FAME" dataDxfId="2" totalsRowDxfId="1"/>
    <tableColumn id="3" xr3:uid="{00000000-0010-0000-0000-000003000000}" name="g ac. g./100 g gras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DE168-9C3A-4F26-9A63-722E70F4592A}" name="Tabla_Report01" displayName="Tabla_Report01" ref="A1:K49" tableType="queryTable" totalsRowShown="0">
  <autoFilter ref="A1:K49" xr:uid="{14DDE168-9C3A-4F26-9A63-722E70F4592A}"/>
  <tableColumns count="11">
    <tableColumn id="1" xr3:uid="{958BBB89-A112-453D-BDDD-D2D647FC1162}" uniqueName="1" name="HeaderName" queryTableFieldId="1"/>
    <tableColumn id="2" xr3:uid="{930659C5-C6E9-4B6A-AE41-9FB33B13D2DC}" uniqueName="2" name="HeaderValue" queryTableFieldId="2"/>
    <tableColumn id="3" xr3:uid="{95A0B526-67F4-48BD-90BA-66A7DC589812}" uniqueName="3" name="segName" queryTableFieldId="3"/>
    <tableColumn id="4" xr3:uid="{8086292F-FD0C-447A-9267-7E0A26B80128}" uniqueName="4" name="Timestart" queryTableFieldId="4"/>
    <tableColumn id="5" xr3:uid="{01F4B8F3-3378-430A-9BFA-BC8B18CB9A30}" uniqueName="5" name="Timeend" queryTableFieldId="5"/>
    <tableColumn id="6" xr3:uid="{0A4963B6-BC40-4B9B-BDB2-73F96D9109EA}" uniqueName="6" name="Height" queryTableFieldId="6"/>
    <tableColumn id="7" xr3:uid="{9B4E956F-6C33-410A-810F-24C07DA20C5A}" uniqueName="7" name="Area" queryTableFieldId="7"/>
    <tableColumn id="8" xr3:uid="{2B28DC0B-CD51-4C15-A3DF-53007BBCC7A7}" uniqueName="8" name="PPM" queryTableFieldId="8"/>
    <tableColumn id="9" xr3:uid="{3A235EA2-1C9B-4F8F-87BA-807A20FF75D1}" uniqueName="9" name="ISTDName" queryTableFieldId="9"/>
    <tableColumn id="10" xr3:uid="{8133B4D5-E4AC-40C9-AA2C-FFFCB5F8902E}" uniqueName="10" name="RF" queryTableFieldId="10"/>
    <tableColumn id="11" xr3:uid="{1614CA77-D0FF-4DCB-B84B-2D2AB3D4866F}" uniqueName="11" name="Signal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W107"/>
  <sheetViews>
    <sheetView tabSelected="1" topLeftCell="E1" zoomScale="89" zoomScaleNormal="55" workbookViewId="0">
      <selection activeCell="Q15" sqref="Q15"/>
    </sheetView>
  </sheetViews>
  <sheetFormatPr defaultColWidth="11.453125" defaultRowHeight="14.5" x14ac:dyDescent="0.35"/>
  <cols>
    <col min="1" max="1" width="6.453125" style="2" customWidth="1"/>
    <col min="2" max="2" width="18.08984375" style="2" bestFit="1" customWidth="1"/>
    <col min="3" max="3" width="14.90625" style="2" customWidth="1"/>
    <col min="4" max="4" width="17.36328125" style="2" customWidth="1"/>
    <col min="5" max="5" width="11.453125" style="2" customWidth="1"/>
    <col min="6" max="6" width="16.54296875" style="2" customWidth="1"/>
    <col min="7" max="7" width="9" style="2" customWidth="1"/>
    <col min="8" max="8" width="11.453125" style="2" customWidth="1"/>
    <col min="9" max="9" width="8" style="2" customWidth="1"/>
    <col min="10" max="10" width="10.453125" style="2" customWidth="1"/>
    <col min="11" max="11" width="12.6328125" style="2" customWidth="1"/>
    <col min="12" max="12" width="11.453125" style="2" customWidth="1"/>
    <col min="13" max="13" width="11.453125" style="2"/>
    <col min="14" max="14" width="25.36328125" style="2" customWidth="1"/>
    <col min="15" max="15" width="26.54296875" style="2" customWidth="1"/>
    <col min="16" max="16" width="19.6328125" style="2" customWidth="1"/>
    <col min="17" max="16384" width="11.453125" style="2"/>
  </cols>
  <sheetData>
    <row r="1" spans="1:19" customFormat="1" ht="15" thickBot="1" x14ac:dyDescent="0.4">
      <c r="A1" t="s">
        <v>0</v>
      </c>
      <c r="B1" s="16" t="s">
        <v>1</v>
      </c>
      <c r="C1" s="17" t="s">
        <v>2</v>
      </c>
      <c r="D1" s="17" t="s">
        <v>3</v>
      </c>
      <c r="E1" s="18" t="s">
        <v>4</v>
      </c>
      <c r="F1" s="18" t="s">
        <v>5</v>
      </c>
      <c r="G1" s="19" t="s">
        <v>6</v>
      </c>
      <c r="H1" s="18" t="s">
        <v>7</v>
      </c>
      <c r="I1" s="18" t="s">
        <v>8</v>
      </c>
      <c r="J1" s="20" t="s">
        <v>9</v>
      </c>
      <c r="K1" s="21" t="s">
        <v>110</v>
      </c>
      <c r="L1" s="22" t="s">
        <v>10</v>
      </c>
      <c r="N1" t="s">
        <v>11</v>
      </c>
      <c r="O1" s="23" t="s">
        <v>12</v>
      </c>
      <c r="P1" t="s">
        <v>13</v>
      </c>
      <c r="R1" s="23"/>
    </row>
    <row r="2" spans="1:19" customFormat="1" ht="15" thickBot="1" x14ac:dyDescent="0.4">
      <c r="A2" t="s">
        <v>14</v>
      </c>
      <c r="B2" s="121" t="s">
        <v>15</v>
      </c>
      <c r="C2" s="65">
        <v>2.6880000000000002</v>
      </c>
      <c r="D2" s="66">
        <f>VLOOKUP(B2,'Reporte GC'!C1:H54,5,FALSE)</f>
        <v>0</v>
      </c>
      <c r="E2" s="111">
        <v>1.5929</v>
      </c>
      <c r="F2" s="112">
        <f t="shared" ref="F2:F33" si="0">O$21</f>
        <v>2.0467304594978682E-3</v>
      </c>
      <c r="G2" s="11">
        <f>(D2*F2*1*E2)/$D$44</f>
        <v>0</v>
      </c>
      <c r="H2" s="116">
        <v>0.86260000000000003</v>
      </c>
      <c r="I2" s="117">
        <f t="shared" ref="I2:I51" si="1">D2*100/$D$52</f>
        <v>0</v>
      </c>
      <c r="J2" s="12">
        <f t="shared" ref="J2:J39" si="2">H2*G2</f>
        <v>0</v>
      </c>
      <c r="K2" s="118">
        <f>(J2/L2)*100</f>
        <v>0</v>
      </c>
      <c r="L2" s="15">
        <f>N21</f>
        <v>3.4000000000000002E-2</v>
      </c>
      <c r="O2" s="23"/>
      <c r="P2" s="190"/>
      <c r="R2" s="24"/>
      <c r="S2" s="24"/>
    </row>
    <row r="3" spans="1:19" customFormat="1" x14ac:dyDescent="0.35">
      <c r="A3" t="s">
        <v>14</v>
      </c>
      <c r="B3" s="67" t="s">
        <v>17</v>
      </c>
      <c r="C3" s="65">
        <v>4.758</v>
      </c>
      <c r="D3" s="66">
        <f>VLOOKUP(B3,'Reporte GC'!C1:H54,5,FALSE)</f>
        <v>0</v>
      </c>
      <c r="E3" s="111">
        <v>1.3536999999999999</v>
      </c>
      <c r="F3" s="112">
        <f t="shared" si="0"/>
        <v>2.0467304594978682E-3</v>
      </c>
      <c r="G3" s="11">
        <f t="shared" ref="G3:G51" si="3">(D3*F3*1*E3)/$D$44</f>
        <v>0</v>
      </c>
      <c r="H3" s="116">
        <v>0.89219999999999999</v>
      </c>
      <c r="I3" s="117">
        <f t="shared" si="1"/>
        <v>0</v>
      </c>
      <c r="J3" s="12">
        <f t="shared" si="2"/>
        <v>0</v>
      </c>
      <c r="K3" s="118">
        <f t="shared" ref="K3:K12" si="4">(J3/L3)*100</f>
        <v>0</v>
      </c>
      <c r="L3" s="10">
        <f>L2</f>
        <v>3.4000000000000002E-2</v>
      </c>
      <c r="N3" t="s">
        <v>16</v>
      </c>
      <c r="O3" s="24">
        <f>SUM(I2:I43,I45:I50)</f>
        <v>99.983590982135198</v>
      </c>
      <c r="P3" s="24">
        <f>SUM(K2:K50)</f>
        <v>92.647611473431326</v>
      </c>
      <c r="R3" s="24"/>
      <c r="S3" s="24"/>
    </row>
    <row r="4" spans="1:19" customFormat="1" x14ac:dyDescent="0.35">
      <c r="A4" t="s">
        <v>14</v>
      </c>
      <c r="B4" s="67" t="s">
        <v>19</v>
      </c>
      <c r="C4" s="65">
        <v>6.5629999999999997</v>
      </c>
      <c r="D4" s="66">
        <f>VLOOKUP(B4,'Reporte GC'!C1:H54,5,FALSE)</f>
        <v>0</v>
      </c>
      <c r="E4" s="111">
        <v>1.234</v>
      </c>
      <c r="F4" s="112">
        <f t="shared" si="0"/>
        <v>2.0467304594978682E-3</v>
      </c>
      <c r="G4" s="11">
        <f t="shared" si="3"/>
        <v>0</v>
      </c>
      <c r="H4" s="116">
        <v>0.91139999999999999</v>
      </c>
      <c r="I4" s="117">
        <f t="shared" si="1"/>
        <v>0</v>
      </c>
      <c r="J4" s="12">
        <f t="shared" si="2"/>
        <v>0</v>
      </c>
      <c r="K4" s="118">
        <f t="shared" si="4"/>
        <v>0</v>
      </c>
      <c r="L4" s="10">
        <f>L3</f>
        <v>3.4000000000000002E-2</v>
      </c>
      <c r="N4" t="s">
        <v>18</v>
      </c>
      <c r="O4" s="24">
        <f>+SUM(I2,I3,I4,I5,I6,I7,I8,I9,I11,I13,I16,I20,I31,I36,I41,I48)</f>
        <v>6.8591924074463346</v>
      </c>
      <c r="P4" s="24">
        <f>SUM(K2,K3,K4,K5,K6,K7,K8,K9,K11,K13,K16,K20,K31,K36,K41,K48)</f>
        <v>6.4648540927407234</v>
      </c>
      <c r="R4" s="24"/>
      <c r="S4" s="24"/>
    </row>
    <row r="5" spans="1:19" customFormat="1" x14ac:dyDescent="0.35">
      <c r="A5" t="s">
        <v>14</v>
      </c>
      <c r="B5" s="67" t="s">
        <v>21</v>
      </c>
      <c r="C5" s="65">
        <v>8.2590000000000003</v>
      </c>
      <c r="D5" s="66">
        <f>VLOOKUP(B5,'Reporte GC'!C1:H54,5,FALSE)</f>
        <v>0</v>
      </c>
      <c r="E5" s="111">
        <v>1.1623000000000001</v>
      </c>
      <c r="F5" s="112">
        <f t="shared" si="0"/>
        <v>2.0467304594978682E-3</v>
      </c>
      <c r="G5" s="11">
        <f t="shared" si="3"/>
        <v>0</v>
      </c>
      <c r="H5" s="116">
        <v>0.92469999999999997</v>
      </c>
      <c r="I5" s="117">
        <f t="shared" si="1"/>
        <v>0</v>
      </c>
      <c r="J5" s="12">
        <f t="shared" si="2"/>
        <v>0</v>
      </c>
      <c r="K5" s="118">
        <f t="shared" si="4"/>
        <v>0</v>
      </c>
      <c r="L5" s="10">
        <f t="shared" ref="L5:L39" si="5">L4</f>
        <v>3.4000000000000002E-2</v>
      </c>
      <c r="N5" t="s">
        <v>20</v>
      </c>
      <c r="O5" s="24">
        <f>SUM(I10,I12,I14,I18,I21,I23,I32,I33,I42,I50)</f>
        <v>4.5560385406073909</v>
      </c>
      <c r="P5" s="24">
        <f>SUM(K10,K12,K14,K18,K21,K23,K32,K33,K42,K50)</f>
        <v>4.2203272703985633</v>
      </c>
      <c r="R5" s="24"/>
      <c r="S5" s="24"/>
    </row>
    <row r="6" spans="1:19" customFormat="1" x14ac:dyDescent="0.35">
      <c r="A6" t="s">
        <v>14</v>
      </c>
      <c r="B6" s="67" t="s">
        <v>23</v>
      </c>
      <c r="C6" s="65">
        <v>9.3040000000000003</v>
      </c>
      <c r="D6" s="66">
        <f>VLOOKUP(B6,'Reporte GC'!C1:H54,5,FALSE)</f>
        <v>0</v>
      </c>
      <c r="E6" s="111">
        <v>1.1362000000000001</v>
      </c>
      <c r="F6" s="112">
        <f t="shared" si="0"/>
        <v>2.0467304594978682E-3</v>
      </c>
      <c r="G6" s="11">
        <f t="shared" si="3"/>
        <v>0</v>
      </c>
      <c r="H6" s="116">
        <v>0.93</v>
      </c>
      <c r="I6" s="117">
        <f t="shared" si="1"/>
        <v>0</v>
      </c>
      <c r="J6" s="12">
        <f t="shared" si="2"/>
        <v>0</v>
      </c>
      <c r="K6" s="118">
        <f t="shared" si="4"/>
        <v>0</v>
      </c>
      <c r="L6" s="10">
        <f t="shared" si="5"/>
        <v>3.4000000000000002E-2</v>
      </c>
      <c r="N6" t="s">
        <v>22</v>
      </c>
      <c r="O6" s="24">
        <f>SUM(I15,I17,I19,I24,I26,I27,I28,I29,I30,I34,I35,I37,I38,I39,I40,I43,I45,I47,I49,I46)</f>
        <v>34.251159011460338</v>
      </c>
      <c r="P6" s="24">
        <f>SUM(K15,K17,K19,K24,K26,K27,K28,K29,K30,K34,K35,K37,K38,K39,K40,K43,K47,K49,K45,K46)</f>
        <v>31.504132776539969</v>
      </c>
      <c r="R6" s="25"/>
      <c r="S6" s="25"/>
    </row>
    <row r="7" spans="1:19" customFormat="1" x14ac:dyDescent="0.35">
      <c r="A7" t="s">
        <v>14</v>
      </c>
      <c r="B7" s="67" t="s">
        <v>25</v>
      </c>
      <c r="C7" s="132">
        <v>10.614000000000001</v>
      </c>
      <c r="D7" s="66">
        <f>VLOOKUP(B7,'Reporte GC'!C1:H54,5,FALSE)</f>
        <v>0</v>
      </c>
      <c r="E7" s="111">
        <v>1.1144000000000001</v>
      </c>
      <c r="F7" s="112">
        <f t="shared" si="0"/>
        <v>2.0467304594978682E-3</v>
      </c>
      <c r="G7" s="11">
        <f t="shared" si="3"/>
        <v>0</v>
      </c>
      <c r="H7" s="116">
        <v>0.93459999999999999</v>
      </c>
      <c r="I7" s="117">
        <f t="shared" si="1"/>
        <v>0</v>
      </c>
      <c r="J7" s="12">
        <f t="shared" si="2"/>
        <v>0</v>
      </c>
      <c r="K7" s="118">
        <f t="shared" si="4"/>
        <v>0</v>
      </c>
      <c r="L7" s="10">
        <f t="shared" si="5"/>
        <v>3.4000000000000002E-2</v>
      </c>
      <c r="N7" t="s">
        <v>24</v>
      </c>
      <c r="O7" s="25">
        <f>+I40</f>
        <v>3.9106329777625972</v>
      </c>
      <c r="P7" s="25">
        <f>+K40</f>
        <v>3.5389291890824932</v>
      </c>
      <c r="R7" s="25"/>
      <c r="S7" s="25"/>
    </row>
    <row r="8" spans="1:19" customFormat="1" x14ac:dyDescent="0.35">
      <c r="A8" t="s">
        <v>14</v>
      </c>
      <c r="B8" s="68" t="s">
        <v>144</v>
      </c>
      <c r="C8" s="132">
        <v>12.329000000000001</v>
      </c>
      <c r="D8" s="66">
        <f>VLOOKUP(B8,'Reporte GC'!C1:H54,5,FALSE)</f>
        <v>0</v>
      </c>
      <c r="E8" s="111">
        <v>1.0960000000000001</v>
      </c>
      <c r="F8" s="112">
        <f t="shared" si="0"/>
        <v>2.0467304594978682E-3</v>
      </c>
      <c r="G8" s="11">
        <f t="shared" si="3"/>
        <v>0</v>
      </c>
      <c r="H8" s="116">
        <v>0.93859999999999999</v>
      </c>
      <c r="I8" s="117">
        <f t="shared" si="1"/>
        <v>0</v>
      </c>
      <c r="J8" s="12">
        <f t="shared" si="2"/>
        <v>0</v>
      </c>
      <c r="K8" s="118">
        <f t="shared" si="4"/>
        <v>0</v>
      </c>
      <c r="L8" s="10">
        <f t="shared" si="5"/>
        <v>3.4000000000000002E-2</v>
      </c>
      <c r="N8" t="s">
        <v>26</v>
      </c>
      <c r="O8" s="25">
        <f>+I49</f>
        <v>4.1253969431533886</v>
      </c>
      <c r="P8" s="25">
        <f>+K49</f>
        <v>3.8456433048436178</v>
      </c>
      <c r="R8" s="24"/>
      <c r="S8" s="24"/>
    </row>
    <row r="9" spans="1:19" customFormat="1" x14ac:dyDescent="0.35">
      <c r="A9" t="s">
        <v>14</v>
      </c>
      <c r="B9" s="69" t="s">
        <v>29</v>
      </c>
      <c r="C9" s="132">
        <v>14.302</v>
      </c>
      <c r="D9" s="66">
        <f>VLOOKUP(B9,'Reporte GC'!C1:H54,5,FALSE)</f>
        <v>20.31431770324707</v>
      </c>
      <c r="E9" s="113">
        <v>1.0802</v>
      </c>
      <c r="F9" s="112">
        <f t="shared" si="0"/>
        <v>2.0467304594978682E-3</v>
      </c>
      <c r="G9" s="11">
        <f t="shared" si="3"/>
        <v>5.4196254430354559E-5</v>
      </c>
      <c r="H9" s="116">
        <v>0.94210000000000005</v>
      </c>
      <c r="I9" s="117">
        <f>D9*100/$D$52</f>
        <v>0.15552975779777331</v>
      </c>
      <c r="J9" s="12">
        <f t="shared" si="2"/>
        <v>5.1058291298837033E-5</v>
      </c>
      <c r="K9" s="118">
        <f t="shared" si="4"/>
        <v>0.1501714449965795</v>
      </c>
      <c r="L9" s="10">
        <f t="shared" si="5"/>
        <v>3.4000000000000002E-2</v>
      </c>
      <c r="N9" t="s">
        <v>28</v>
      </c>
      <c r="O9" s="24">
        <f>+I29+I30+I38+I39+I45+I40+I47+I49</f>
        <v>17.060327746236773</v>
      </c>
      <c r="P9" s="24">
        <f>+K29+K30+K38+K39+K45+K40+K47+K49</f>
        <v>15.648753512042216</v>
      </c>
      <c r="R9" s="24"/>
      <c r="S9" s="24"/>
    </row>
    <row r="10" spans="1:19" customFormat="1" x14ac:dyDescent="0.35">
      <c r="A10" t="s">
        <v>31</v>
      </c>
      <c r="B10" s="67" t="s">
        <v>32</v>
      </c>
      <c r="C10" s="132">
        <v>15.095000000000001</v>
      </c>
      <c r="D10" s="66">
        <f>VLOOKUP(B10,'Reporte GC'!C1:H54,5,FALSE)</f>
        <v>0</v>
      </c>
      <c r="E10" s="111">
        <v>1.0712999999999999</v>
      </c>
      <c r="F10" s="112">
        <f t="shared" si="0"/>
        <v>2.0467304594978682E-3</v>
      </c>
      <c r="G10" s="11">
        <f t="shared" si="3"/>
        <v>0</v>
      </c>
      <c r="H10" s="116">
        <v>0.94159999999999999</v>
      </c>
      <c r="I10" s="117">
        <f t="shared" si="1"/>
        <v>0</v>
      </c>
      <c r="J10" s="12">
        <f t="shared" si="2"/>
        <v>0</v>
      </c>
      <c r="K10" s="118">
        <f t="shared" si="4"/>
        <v>0</v>
      </c>
      <c r="L10" s="10">
        <f t="shared" si="5"/>
        <v>3.4000000000000002E-2</v>
      </c>
      <c r="N10" t="s">
        <v>30</v>
      </c>
      <c r="O10" s="24">
        <f>SUM(I24,I27,I34,I35,I43,I37,I46)</f>
        <v>17.134075558492388</v>
      </c>
      <c r="P10" s="24">
        <f>+K24+K27+K34+K35+K37+K43+K46</f>
        <v>15.803412148198875</v>
      </c>
      <c r="R10" s="24"/>
      <c r="S10" s="24"/>
    </row>
    <row r="11" spans="1:19" customFormat="1" x14ac:dyDescent="0.35">
      <c r="A11" t="s">
        <v>14</v>
      </c>
      <c r="B11" s="67" t="s">
        <v>34</v>
      </c>
      <c r="C11" s="132">
        <v>16.695</v>
      </c>
      <c r="D11" s="66">
        <f>VLOOKUP(B11,'Reporte GC'!C1:H54,5,FALSE)</f>
        <v>0</v>
      </c>
      <c r="E11" s="111">
        <v>1.0666</v>
      </c>
      <c r="F11" s="112">
        <f t="shared" si="0"/>
        <v>2.0467304594978682E-3</v>
      </c>
      <c r="G11" s="11">
        <f t="shared" si="3"/>
        <v>0</v>
      </c>
      <c r="H11" s="116">
        <v>0.94530000000000003</v>
      </c>
      <c r="I11" s="117">
        <f t="shared" si="1"/>
        <v>0</v>
      </c>
      <c r="J11" s="12">
        <f t="shared" si="2"/>
        <v>0</v>
      </c>
      <c r="K11" s="118">
        <f t="shared" si="4"/>
        <v>0</v>
      </c>
      <c r="L11" s="10">
        <f t="shared" si="5"/>
        <v>3.4000000000000002E-2</v>
      </c>
      <c r="N11" t="s">
        <v>33</v>
      </c>
      <c r="O11" s="24">
        <f>I51</f>
        <v>1.6409017864798026E-2</v>
      </c>
      <c r="P11" s="24">
        <f>K51</f>
        <v>1.4790364613762937E-2</v>
      </c>
      <c r="R11" s="24"/>
      <c r="S11" s="24"/>
    </row>
    <row r="12" spans="1:19" customFormat="1" x14ac:dyDescent="0.35">
      <c r="A12" t="s">
        <v>31</v>
      </c>
      <c r="B12" s="67" t="s">
        <v>36</v>
      </c>
      <c r="C12" s="133">
        <v>17.61</v>
      </c>
      <c r="D12" s="66">
        <f>VLOOKUP(B12,'Reporte GC'!C1:H54,5,FALSE)</f>
        <v>0</v>
      </c>
      <c r="E12" s="111">
        <v>1.0582</v>
      </c>
      <c r="F12" s="112">
        <f t="shared" si="0"/>
        <v>2.0467304594978682E-3</v>
      </c>
      <c r="G12" s="11">
        <f t="shared" si="3"/>
        <v>0</v>
      </c>
      <c r="H12" s="116">
        <v>0.99448999999999999</v>
      </c>
      <c r="I12" s="117">
        <f t="shared" si="1"/>
        <v>0</v>
      </c>
      <c r="J12" s="12">
        <f t="shared" si="2"/>
        <v>0</v>
      </c>
      <c r="K12" s="118">
        <f t="shared" si="4"/>
        <v>0</v>
      </c>
      <c r="L12" s="10">
        <f t="shared" si="5"/>
        <v>3.4000000000000002E-2</v>
      </c>
      <c r="N12" t="s">
        <v>35</v>
      </c>
      <c r="O12" s="24">
        <f>O10/O9</f>
        <v>1.004322766441101</v>
      </c>
      <c r="P12" s="24">
        <f>P10/P9</f>
        <v>1.0098831281378191</v>
      </c>
      <c r="R12" s="23"/>
    </row>
    <row r="13" spans="1:19" customFormat="1" x14ac:dyDescent="0.35">
      <c r="A13" t="s">
        <v>14</v>
      </c>
      <c r="B13" s="67" t="s">
        <v>37</v>
      </c>
      <c r="C13" s="134">
        <v>19.420000000000002</v>
      </c>
      <c r="D13" s="66">
        <f>VLOOKUP(B13,'Reporte GC'!C1:H54,5,FALSE)</f>
        <v>528.8895263671875</v>
      </c>
      <c r="E13" s="113">
        <v>1.0546</v>
      </c>
      <c r="F13" s="112">
        <f t="shared" si="0"/>
        <v>2.0467304594978682E-3</v>
      </c>
      <c r="G13" s="11">
        <f t="shared" si="3"/>
        <v>1.3775760810215544E-3</v>
      </c>
      <c r="H13" s="116">
        <v>0.94810000000000005</v>
      </c>
      <c r="I13" s="117">
        <f t="shared" si="1"/>
        <v>4.0492652098534165</v>
      </c>
      <c r="J13" s="12">
        <f t="shared" si="2"/>
        <v>1.3060798824165358E-3</v>
      </c>
      <c r="K13" s="118">
        <f t="shared" ref="K13:K19" si="6">(J13/L13)*100</f>
        <v>3.841411418872164</v>
      </c>
      <c r="L13" s="10">
        <f t="shared" si="5"/>
        <v>3.4000000000000002E-2</v>
      </c>
      <c r="O13" s="23"/>
    </row>
    <row r="14" spans="1:19" customFormat="1" ht="15" thickBot="1" x14ac:dyDescent="0.4">
      <c r="A14" t="s">
        <v>31</v>
      </c>
      <c r="B14" s="70" t="s">
        <v>38</v>
      </c>
      <c r="C14" s="134">
        <v>20.059999999999999</v>
      </c>
      <c r="D14" s="66">
        <f>VLOOKUP(B14,'Reporte GC'!C1:H54,5,FALSE)</f>
        <v>29.766155242919922</v>
      </c>
      <c r="E14" s="113">
        <v>1.0468</v>
      </c>
      <c r="F14" s="112">
        <f t="shared" si="0"/>
        <v>2.0467304594978682E-3</v>
      </c>
      <c r="G14" s="11">
        <f t="shared" si="3"/>
        <v>7.6957210305117168E-5</v>
      </c>
      <c r="H14" s="116">
        <v>0.94769999999999999</v>
      </c>
      <c r="I14" s="117">
        <f t="shared" si="1"/>
        <v>0.22789458071546581</v>
      </c>
      <c r="J14" s="12">
        <f t="shared" si="2"/>
        <v>7.2932348206159543E-5</v>
      </c>
      <c r="K14" s="118">
        <f t="shared" si="6"/>
        <v>0.21450690648870452</v>
      </c>
      <c r="L14" s="10">
        <f t="shared" si="5"/>
        <v>3.4000000000000002E-2</v>
      </c>
    </row>
    <row r="15" spans="1:19" customFormat="1" ht="15" thickBot="1" x14ac:dyDescent="0.4">
      <c r="A15" t="s">
        <v>39</v>
      </c>
      <c r="B15" s="71" t="s">
        <v>111</v>
      </c>
      <c r="C15" s="65"/>
      <c r="D15" s="66">
        <f>VLOOKUP(B15,'Reporte GC'!C1:H54,5,FALSE)</f>
        <v>0</v>
      </c>
      <c r="E15" s="111">
        <v>1.0468</v>
      </c>
      <c r="F15" s="112">
        <f t="shared" si="0"/>
        <v>2.0467304594978682E-3</v>
      </c>
      <c r="G15" s="11">
        <f t="shared" si="3"/>
        <v>0</v>
      </c>
      <c r="H15" s="116">
        <v>0.94769999999999999</v>
      </c>
      <c r="I15" s="117">
        <f t="shared" si="1"/>
        <v>0</v>
      </c>
      <c r="J15" s="12">
        <f t="shared" si="2"/>
        <v>0</v>
      </c>
      <c r="K15" s="118">
        <f t="shared" si="6"/>
        <v>0</v>
      </c>
      <c r="L15" s="10">
        <f t="shared" si="5"/>
        <v>3.4000000000000002E-2</v>
      </c>
      <c r="N15" s="119"/>
      <c r="O15" s="120"/>
    </row>
    <row r="16" spans="1:19" customFormat="1" x14ac:dyDescent="0.35">
      <c r="A16" t="s">
        <v>14</v>
      </c>
      <c r="B16" s="67" t="s">
        <v>40</v>
      </c>
      <c r="C16" s="65"/>
      <c r="D16" s="66">
        <f>VLOOKUP(B16,'Reporte GC'!C1:H54,5,FALSE)</f>
        <v>14.639885902404785</v>
      </c>
      <c r="E16" s="113">
        <v>1.0441</v>
      </c>
      <c r="F16" s="112">
        <f t="shared" si="0"/>
        <v>2.0467304594978682E-3</v>
      </c>
      <c r="G16" s="11">
        <f t="shared" si="3"/>
        <v>3.7752233242229235E-5</v>
      </c>
      <c r="H16" s="116">
        <v>0.95069999999999999</v>
      </c>
      <c r="I16" s="117">
        <f t="shared" si="1"/>
        <v>0.11208537455452433</v>
      </c>
      <c r="J16" s="12">
        <f t="shared" si="2"/>
        <v>3.5891048143387334E-5</v>
      </c>
      <c r="K16" s="118">
        <f t="shared" si="6"/>
        <v>0.1055619063040804</v>
      </c>
      <c r="L16" s="10">
        <f t="shared" si="5"/>
        <v>3.4000000000000002E-2</v>
      </c>
    </row>
    <row r="17" spans="1:17" customFormat="1" x14ac:dyDescent="0.35">
      <c r="A17" t="s">
        <v>39</v>
      </c>
      <c r="B17" s="72" t="s">
        <v>112</v>
      </c>
      <c r="C17" s="65"/>
      <c r="D17" s="66">
        <f>VLOOKUP(B17,'Reporte GC'!C1:H54,5,FALSE)</f>
        <v>0</v>
      </c>
      <c r="E17" s="111">
        <v>1.0309999999999999</v>
      </c>
      <c r="F17" s="112">
        <f t="shared" si="0"/>
        <v>2.0467304594978682E-3</v>
      </c>
      <c r="G17" s="11">
        <f t="shared" si="3"/>
        <v>0</v>
      </c>
      <c r="H17" s="116">
        <v>0.94689999999999996</v>
      </c>
      <c r="I17" s="117">
        <f t="shared" si="1"/>
        <v>0</v>
      </c>
      <c r="J17" s="12">
        <f t="shared" si="2"/>
        <v>0</v>
      </c>
      <c r="K17" s="118">
        <f t="shared" si="6"/>
        <v>0</v>
      </c>
      <c r="L17" s="10">
        <f t="shared" si="5"/>
        <v>3.4000000000000002E-2</v>
      </c>
      <c r="Q17" s="26"/>
    </row>
    <row r="18" spans="1:17" customFormat="1" x14ac:dyDescent="0.35">
      <c r="A18" t="s">
        <v>31</v>
      </c>
      <c r="B18" s="67" t="s">
        <v>41</v>
      </c>
      <c r="C18" s="65"/>
      <c r="D18" s="66">
        <f>VLOOKUP(B18,'Reporte GC'!C1:H54,5,FALSE)</f>
        <v>11.376916885375977</v>
      </c>
      <c r="E18" s="111">
        <v>1.0367</v>
      </c>
      <c r="F18" s="112">
        <f t="shared" si="0"/>
        <v>2.0467304594978682E-3</v>
      </c>
      <c r="G18" s="11">
        <f t="shared" si="3"/>
        <v>2.9130003956596085E-5</v>
      </c>
      <c r="H18" s="116">
        <v>0.95030000000000003</v>
      </c>
      <c r="I18" s="117">
        <f t="shared" si="1"/>
        <v>8.7103547040868215E-2</v>
      </c>
      <c r="J18" s="12">
        <f t="shared" si="2"/>
        <v>2.768224275995326E-5</v>
      </c>
      <c r="K18" s="118">
        <f t="shared" si="6"/>
        <v>8.1418361058686051E-2</v>
      </c>
      <c r="L18" s="10">
        <f t="shared" si="5"/>
        <v>3.4000000000000002E-2</v>
      </c>
      <c r="Q18" s="26"/>
    </row>
    <row r="19" spans="1:17" customFormat="1" ht="15" thickBot="1" x14ac:dyDescent="0.4">
      <c r="A19" t="s">
        <v>39</v>
      </c>
      <c r="B19" s="72" t="s">
        <v>118</v>
      </c>
      <c r="C19" s="65"/>
      <c r="D19" s="66">
        <f>VLOOKUP(B19,'Reporte GC'!C1:H54,5,FALSE)</f>
        <v>0</v>
      </c>
      <c r="E19" s="111">
        <v>1.0232000000000001</v>
      </c>
      <c r="F19" s="112">
        <f t="shared" si="0"/>
        <v>2.0467304594978682E-3</v>
      </c>
      <c r="G19" s="11">
        <f t="shared" si="3"/>
        <v>0</v>
      </c>
      <c r="H19" s="116">
        <v>0.94650000000000001</v>
      </c>
      <c r="I19" s="117">
        <f t="shared" si="1"/>
        <v>0</v>
      </c>
      <c r="J19" s="12">
        <f t="shared" si="2"/>
        <v>0</v>
      </c>
      <c r="K19" s="118">
        <f t="shared" si="6"/>
        <v>0</v>
      </c>
      <c r="L19" s="10">
        <f t="shared" si="5"/>
        <v>3.4000000000000002E-2</v>
      </c>
      <c r="N19" s="122" t="s">
        <v>103</v>
      </c>
      <c r="O19" s="170" t="s">
        <v>150</v>
      </c>
    </row>
    <row r="20" spans="1:17" customFormat="1" x14ac:dyDescent="0.35">
      <c r="A20" t="s">
        <v>14</v>
      </c>
      <c r="B20" s="67" t="s">
        <v>42</v>
      </c>
      <c r="C20" s="65"/>
      <c r="D20" s="66">
        <f>VLOOKUP(B20,'Reporte GC'!C1:H54,5,FALSE)</f>
        <v>228.77030944824219</v>
      </c>
      <c r="E20" s="111">
        <v>1.0347</v>
      </c>
      <c r="F20" s="112">
        <f t="shared" si="0"/>
        <v>2.0467304594978682E-3</v>
      </c>
      <c r="G20" s="11">
        <f t="shared" si="3"/>
        <v>5.846244420838983E-4</v>
      </c>
      <c r="H20" s="116">
        <v>0.95299999999999996</v>
      </c>
      <c r="I20" s="117">
        <f t="shared" si="1"/>
        <v>1.7515031191089183</v>
      </c>
      <c r="J20" s="12">
        <f t="shared" si="2"/>
        <v>5.5714709330595511E-4</v>
      </c>
      <c r="K20" s="118">
        <f t="shared" ref="K20:K39" si="7">(J20/L20)*100</f>
        <v>1.638667921488103</v>
      </c>
      <c r="L20" s="10">
        <f t="shared" si="5"/>
        <v>3.4000000000000002E-2</v>
      </c>
      <c r="N20" s="127" t="s">
        <v>43</v>
      </c>
      <c r="O20" s="126" t="s">
        <v>44</v>
      </c>
      <c r="P20" s="128" t="s">
        <v>102</v>
      </c>
    </row>
    <row r="21" spans="1:17" customFormat="1" ht="15" thickBot="1" x14ac:dyDescent="0.4">
      <c r="A21" t="s">
        <v>31</v>
      </c>
      <c r="B21" s="73" t="s">
        <v>45</v>
      </c>
      <c r="C21" s="65">
        <v>25.937000000000001</v>
      </c>
      <c r="D21" s="66">
        <f>VLOOKUP(B21,'Reporte GC'!C1:H54,5,FALSE)</f>
        <v>382.97647094726563</v>
      </c>
      <c r="E21" s="114">
        <v>1.0277000000000001</v>
      </c>
      <c r="F21" s="112">
        <f t="shared" si="0"/>
        <v>2.0467304594978682E-3</v>
      </c>
      <c r="G21" s="11">
        <f t="shared" si="3"/>
        <v>9.7207843611763693E-4</v>
      </c>
      <c r="H21" s="116">
        <v>0.95269999999999999</v>
      </c>
      <c r="I21" s="117">
        <f t="shared" si="1"/>
        <v>2.9321308566102298</v>
      </c>
      <c r="J21" s="12">
        <f t="shared" si="2"/>
        <v>9.260991260892727E-4</v>
      </c>
      <c r="K21" s="118">
        <f t="shared" si="7"/>
        <v>2.7238209590860962</v>
      </c>
      <c r="L21" s="10">
        <f t="shared" si="5"/>
        <v>3.4000000000000002E-2</v>
      </c>
      <c r="N21" s="124">
        <f>VLOOKUP(O19,Resultados!A1:D34,2,FALSE)</f>
        <v>3.4000000000000002E-2</v>
      </c>
      <c r="O21" s="186">
        <f>VLOOKUP(O19,'Concentración C23'!A4:C37,3,FALSE)</f>
        <v>2.0467304594978682E-3</v>
      </c>
      <c r="P21" s="125">
        <f>VLOOKUP(O19,Resultados!A1:D34,3,FALSE)</f>
        <v>2.0467304594978682E-3</v>
      </c>
    </row>
    <row r="22" spans="1:17" customFormat="1" x14ac:dyDescent="0.35">
      <c r="A22" t="s">
        <v>46</v>
      </c>
      <c r="B22" s="67" t="s">
        <v>145</v>
      </c>
      <c r="C22" s="65"/>
      <c r="D22" s="66">
        <f>VLOOKUP(B22,'Reporte GC'!C1:H54,5,FALSE)</f>
        <v>7094.57080078125</v>
      </c>
      <c r="E22" s="111">
        <v>1.0277000000000001</v>
      </c>
      <c r="F22" s="112">
        <f t="shared" si="0"/>
        <v>2.0467304594978682E-3</v>
      </c>
      <c r="G22" s="11">
        <f t="shared" si="3"/>
        <v>1.800757960898049E-2</v>
      </c>
      <c r="H22" s="116">
        <v>0.95269999999999999</v>
      </c>
      <c r="I22" s="117">
        <f t="shared" si="1"/>
        <v>54.317201022621141</v>
      </c>
      <c r="J22" s="12">
        <f t="shared" si="2"/>
        <v>1.7155821093475711E-2</v>
      </c>
      <c r="K22" s="118">
        <f t="shared" si="7"/>
        <v>50.458297333752085</v>
      </c>
      <c r="L22" s="10">
        <f>L21</f>
        <v>3.4000000000000002E-2</v>
      </c>
    </row>
    <row r="23" spans="1:17" customFormat="1" x14ac:dyDescent="0.35">
      <c r="A23" t="s">
        <v>31</v>
      </c>
      <c r="B23" s="72" t="s">
        <v>48</v>
      </c>
      <c r="C23" s="65"/>
      <c r="D23" s="66">
        <f>VLOOKUP(B23,'Reporte GC'!C1:H54,5,FALSE)</f>
        <v>0</v>
      </c>
      <c r="E23" s="111">
        <v>1.0277000000000001</v>
      </c>
      <c r="F23" s="112">
        <f t="shared" si="0"/>
        <v>2.0467304594978682E-3</v>
      </c>
      <c r="G23" s="11">
        <f t="shared" si="3"/>
        <v>0</v>
      </c>
      <c r="H23" s="116">
        <v>0.95269999999999999</v>
      </c>
      <c r="I23" s="117">
        <f t="shared" si="1"/>
        <v>0</v>
      </c>
      <c r="J23" s="12">
        <f t="shared" si="2"/>
        <v>0</v>
      </c>
      <c r="K23" s="118">
        <f t="shared" si="7"/>
        <v>0</v>
      </c>
      <c r="L23" s="10">
        <f t="shared" ref="L23:L32" si="8">L22</f>
        <v>3.4000000000000002E-2</v>
      </c>
    </row>
    <row r="24" spans="1:17" customFormat="1" x14ac:dyDescent="0.35">
      <c r="A24" t="s">
        <v>39</v>
      </c>
      <c r="B24" s="74" t="s">
        <v>49</v>
      </c>
      <c r="C24" s="65">
        <v>27.334</v>
      </c>
      <c r="D24" s="66">
        <f>VLOOKUP(B24,'Reporte GC'!C1:H54,5,FALSE)</f>
        <v>2237.945068359375</v>
      </c>
      <c r="E24" s="111">
        <v>1.0206999999999999</v>
      </c>
      <c r="F24" s="112">
        <f t="shared" si="0"/>
        <v>2.0467304594978682E-3</v>
      </c>
      <c r="G24" s="11">
        <f t="shared" si="3"/>
        <v>5.6417053028009435E-3</v>
      </c>
      <c r="H24" s="116">
        <v>0.95240000000000002</v>
      </c>
      <c r="I24" s="117">
        <f t="shared" si="1"/>
        <v>17.134075558492388</v>
      </c>
      <c r="J24" s="12">
        <f t="shared" si="2"/>
        <v>5.3731601303876183E-3</v>
      </c>
      <c r="K24" s="118">
        <f t="shared" si="7"/>
        <v>15.803412148198875</v>
      </c>
      <c r="L24" s="10">
        <f t="shared" si="8"/>
        <v>3.4000000000000002E-2</v>
      </c>
    </row>
    <row r="25" spans="1:17" customFormat="1" x14ac:dyDescent="0.35">
      <c r="A25" t="s">
        <v>46</v>
      </c>
      <c r="B25" s="67" t="s">
        <v>146</v>
      </c>
      <c r="C25" s="65"/>
      <c r="D25" s="66">
        <f>VLOOKUP(B25,'Reporte GC'!C1:H54,5,FALSE)</f>
        <v>0</v>
      </c>
      <c r="E25" s="111">
        <v>1.0206999999999999</v>
      </c>
      <c r="F25" s="112">
        <f t="shared" si="0"/>
        <v>2.0467304594978682E-3</v>
      </c>
      <c r="G25" s="11">
        <f t="shared" si="3"/>
        <v>0</v>
      </c>
      <c r="H25" s="116">
        <v>0.95240000000000002</v>
      </c>
      <c r="I25" s="117">
        <f t="shared" si="1"/>
        <v>0</v>
      </c>
      <c r="J25" s="12">
        <f t="shared" si="2"/>
        <v>0</v>
      </c>
      <c r="K25" s="118">
        <f t="shared" si="7"/>
        <v>0</v>
      </c>
      <c r="L25" s="10">
        <f t="shared" si="8"/>
        <v>3.4000000000000002E-2</v>
      </c>
      <c r="N25" s="192"/>
      <c r="O25" s="192"/>
      <c r="P25" s="192"/>
    </row>
    <row r="26" spans="1:17" customFormat="1" x14ac:dyDescent="0.35">
      <c r="A26" t="s">
        <v>39</v>
      </c>
      <c r="B26" s="72" t="s">
        <v>113</v>
      </c>
      <c r="C26" s="65"/>
      <c r="D26" s="66">
        <f>VLOOKUP(B26,'Reporte GC'!C1:H54,5,FALSE)</f>
        <v>0</v>
      </c>
      <c r="E26" s="111">
        <v>1.0206999999999999</v>
      </c>
      <c r="F26" s="112">
        <f t="shared" si="0"/>
        <v>2.0467304594978682E-3</v>
      </c>
      <c r="G26" s="11">
        <f t="shared" si="3"/>
        <v>0</v>
      </c>
      <c r="H26" s="116">
        <v>0.95240000000000002</v>
      </c>
      <c r="I26" s="117">
        <f t="shared" si="1"/>
        <v>0</v>
      </c>
      <c r="J26" s="12">
        <f t="shared" si="2"/>
        <v>0</v>
      </c>
      <c r="K26" s="118">
        <f t="shared" si="7"/>
        <v>0</v>
      </c>
      <c r="L26" s="10">
        <f t="shared" si="8"/>
        <v>3.4000000000000002E-2</v>
      </c>
    </row>
    <row r="27" spans="1:17" customFormat="1" x14ac:dyDescent="0.35">
      <c r="A27" t="s">
        <v>39</v>
      </c>
      <c r="B27" s="75" t="s">
        <v>51</v>
      </c>
      <c r="C27" s="65">
        <v>28.155999999999999</v>
      </c>
      <c r="D27" s="66">
        <f>VLOOKUP(B27,'Reporte GC'!C1:H54,5,FALSE)</f>
        <v>0</v>
      </c>
      <c r="E27" s="111">
        <v>1.0137</v>
      </c>
      <c r="F27" s="112">
        <f t="shared" si="0"/>
        <v>2.0467304594978682E-3</v>
      </c>
      <c r="G27" s="11">
        <f t="shared" si="3"/>
        <v>0</v>
      </c>
      <c r="H27" s="116">
        <v>0.95199999999999996</v>
      </c>
      <c r="I27" s="117">
        <f t="shared" si="1"/>
        <v>0</v>
      </c>
      <c r="J27" s="12">
        <f t="shared" si="2"/>
        <v>0</v>
      </c>
      <c r="K27" s="118">
        <f t="shared" si="7"/>
        <v>0</v>
      </c>
      <c r="L27" s="10">
        <f t="shared" si="8"/>
        <v>3.4000000000000002E-2</v>
      </c>
    </row>
    <row r="28" spans="1:17" customFormat="1" x14ac:dyDescent="0.35">
      <c r="A28" t="s">
        <v>39</v>
      </c>
      <c r="B28" s="72" t="s">
        <v>52</v>
      </c>
      <c r="C28" s="65"/>
      <c r="D28" s="66">
        <f>VLOOKUP(B28,'Reporte GC'!C1:H54,5,FALSE)</f>
        <v>7.4130730628967285</v>
      </c>
      <c r="E28" s="111">
        <v>1.0137</v>
      </c>
      <c r="F28" s="112">
        <f t="shared" si="0"/>
        <v>2.0467304594978682E-3</v>
      </c>
      <c r="G28" s="11">
        <f t="shared" si="3"/>
        <v>1.8559684392454963E-5</v>
      </c>
      <c r="H28" s="116">
        <v>0.95199999999999996</v>
      </c>
      <c r="I28" s="117">
        <f t="shared" si="1"/>
        <v>5.6755706731180834E-2</v>
      </c>
      <c r="J28" s="12">
        <f t="shared" si="2"/>
        <v>1.7668819541617123E-5</v>
      </c>
      <c r="K28" s="118">
        <f t="shared" si="7"/>
        <v>5.1967116298873892E-2</v>
      </c>
      <c r="L28" s="10">
        <f t="shared" si="8"/>
        <v>3.4000000000000002E-2</v>
      </c>
      <c r="O28" s="26"/>
    </row>
    <row r="29" spans="1:17" customFormat="1" x14ac:dyDescent="0.35">
      <c r="A29" t="s">
        <v>39</v>
      </c>
      <c r="B29" s="76" t="s">
        <v>53</v>
      </c>
      <c r="C29" s="65">
        <v>29.248999999999999</v>
      </c>
      <c r="D29" s="66">
        <f>VLOOKUP(B29,'Reporte GC'!C1:H54,5,FALSE)</f>
        <v>1160.8748779296875</v>
      </c>
      <c r="E29" s="111">
        <v>1.0137</v>
      </c>
      <c r="F29" s="112">
        <f t="shared" si="0"/>
        <v>2.0467304594978682E-3</v>
      </c>
      <c r="G29" s="11">
        <f t="shared" si="3"/>
        <v>2.9064156215243865E-3</v>
      </c>
      <c r="H29" s="116">
        <v>0.95199999999999996</v>
      </c>
      <c r="I29" s="117">
        <f t="shared" si="1"/>
        <v>8.8878490154293726</v>
      </c>
      <c r="J29" s="12">
        <f t="shared" si="2"/>
        <v>2.766907671691216E-3</v>
      </c>
      <c r="K29" s="118">
        <f t="shared" si="7"/>
        <v>8.1379637402682814</v>
      </c>
      <c r="L29" s="10">
        <f t="shared" si="8"/>
        <v>3.4000000000000002E-2</v>
      </c>
      <c r="O29" s="26"/>
    </row>
    <row r="30" spans="1:17" customFormat="1" x14ac:dyDescent="0.35">
      <c r="A30" t="s">
        <v>39</v>
      </c>
      <c r="B30" s="72" t="s">
        <v>147</v>
      </c>
      <c r="C30" s="65"/>
      <c r="D30" s="66">
        <f>VLOOKUP(B30,'Reporte GC'!C1:H54,5,FALSE)</f>
        <v>0</v>
      </c>
      <c r="E30" s="113">
        <v>1.0066999999999999</v>
      </c>
      <c r="F30" s="112">
        <f t="shared" si="0"/>
        <v>2.0467304594978682E-3</v>
      </c>
      <c r="G30" s="11">
        <f t="shared" si="3"/>
        <v>0</v>
      </c>
      <c r="H30" s="116">
        <v>0.95169999999999999</v>
      </c>
      <c r="I30" s="117">
        <f t="shared" si="1"/>
        <v>0</v>
      </c>
      <c r="J30" s="12">
        <f t="shared" si="2"/>
        <v>0</v>
      </c>
      <c r="K30" s="118">
        <f t="shared" si="7"/>
        <v>0</v>
      </c>
      <c r="L30" s="10">
        <f t="shared" si="8"/>
        <v>3.4000000000000002E-2</v>
      </c>
      <c r="O30" s="9"/>
    </row>
    <row r="31" spans="1:17" customFormat="1" x14ac:dyDescent="0.35">
      <c r="A31" t="s">
        <v>14</v>
      </c>
      <c r="B31" s="77" t="s">
        <v>55</v>
      </c>
      <c r="C31" s="65">
        <v>31.643999999999998</v>
      </c>
      <c r="D31" s="66">
        <f>VLOOKUP(B31,'Reporte GC'!C1:H54,5,FALSE)</f>
        <v>66.07818603515625</v>
      </c>
      <c r="E31" s="113">
        <v>1.0186999999999999</v>
      </c>
      <c r="F31" s="112">
        <f t="shared" si="0"/>
        <v>2.0467304594978682E-3</v>
      </c>
      <c r="G31" s="11">
        <f t="shared" si="3"/>
        <v>1.6625215299909953E-4</v>
      </c>
      <c r="H31" s="116">
        <v>0.95699999999999996</v>
      </c>
      <c r="I31" s="117">
        <f t="shared" si="1"/>
        <v>0.50590546135454739</v>
      </c>
      <c r="J31" s="12">
        <f t="shared" si="2"/>
        <v>1.5910331042013825E-4</v>
      </c>
      <c r="K31" s="118">
        <f t="shared" si="7"/>
        <v>0.46795091300040659</v>
      </c>
      <c r="L31" s="10">
        <f t="shared" si="8"/>
        <v>3.4000000000000002E-2</v>
      </c>
      <c r="O31" s="29"/>
    </row>
    <row r="32" spans="1:17" customFormat="1" x14ac:dyDescent="0.35">
      <c r="A32" t="s">
        <v>31</v>
      </c>
      <c r="B32" s="78" t="s">
        <v>148</v>
      </c>
      <c r="C32" s="65"/>
      <c r="D32" s="66">
        <f>VLOOKUP(B32,'Reporte GC'!C1:H54,5,FALSE)</f>
        <v>149.83345031738281</v>
      </c>
      <c r="E32" s="111">
        <v>1.0124</v>
      </c>
      <c r="F32" s="112">
        <f t="shared" si="0"/>
        <v>2.0467304594978682E-3</v>
      </c>
      <c r="G32" s="11">
        <f t="shared" si="3"/>
        <v>3.746483089452066E-4</v>
      </c>
      <c r="H32" s="116">
        <v>0.95679999999999998</v>
      </c>
      <c r="I32" s="117">
        <f t="shared" si="1"/>
        <v>1.1471495414361061</v>
      </c>
      <c r="J32" s="12">
        <f t="shared" si="2"/>
        <v>3.5846350199877366E-4</v>
      </c>
      <c r="K32" s="118">
        <f t="shared" si="7"/>
        <v>1.054304417643452</v>
      </c>
      <c r="L32" s="10">
        <f t="shared" si="8"/>
        <v>3.4000000000000002E-2</v>
      </c>
    </row>
    <row r="33" spans="1:23" customFormat="1" x14ac:dyDescent="0.35">
      <c r="A33" t="s">
        <v>31</v>
      </c>
      <c r="B33" s="79" t="s">
        <v>57</v>
      </c>
      <c r="C33" s="65">
        <v>32.21</v>
      </c>
      <c r="D33" s="66">
        <f>VLOOKUP(B33,'Reporte GC'!C1:H54,5,FALSE)</f>
        <v>0</v>
      </c>
      <c r="E33" s="114">
        <v>1.0124</v>
      </c>
      <c r="F33" s="112">
        <f t="shared" si="0"/>
        <v>2.0467304594978682E-3</v>
      </c>
      <c r="G33" s="11">
        <f t="shared" si="3"/>
        <v>0</v>
      </c>
      <c r="H33" s="116">
        <v>0.95679999999999998</v>
      </c>
      <c r="I33" s="117">
        <f t="shared" si="1"/>
        <v>0</v>
      </c>
      <c r="J33" s="12">
        <f t="shared" si="2"/>
        <v>0</v>
      </c>
      <c r="K33" s="118">
        <f t="shared" si="7"/>
        <v>0</v>
      </c>
      <c r="L33" s="10">
        <f t="shared" si="5"/>
        <v>3.4000000000000002E-2</v>
      </c>
    </row>
    <row r="34" spans="1:23" customFormat="1" x14ac:dyDescent="0.35">
      <c r="A34" t="s">
        <v>39</v>
      </c>
      <c r="B34" s="80" t="s">
        <v>58</v>
      </c>
      <c r="C34" s="65">
        <v>33.56</v>
      </c>
      <c r="D34" s="66">
        <f>VLOOKUP(B34,'Reporte GC'!C1:H54,5,FALSE)</f>
        <v>0</v>
      </c>
      <c r="E34" s="111">
        <v>1.0061</v>
      </c>
      <c r="F34" s="112">
        <f t="shared" ref="F34:F51" si="9">O$21</f>
        <v>2.0467304594978682E-3</v>
      </c>
      <c r="G34" s="11">
        <f t="shared" si="3"/>
        <v>0</v>
      </c>
      <c r="H34" s="116">
        <v>0.95650000000000002</v>
      </c>
      <c r="I34" s="117">
        <f t="shared" si="1"/>
        <v>0</v>
      </c>
      <c r="J34" s="12">
        <f t="shared" si="2"/>
        <v>0</v>
      </c>
      <c r="K34" s="118">
        <f t="shared" si="7"/>
        <v>0</v>
      </c>
      <c r="L34" s="10">
        <f t="shared" si="5"/>
        <v>3.4000000000000002E-2</v>
      </c>
      <c r="N34" s="29"/>
      <c r="O34" s="2"/>
    </row>
    <row r="35" spans="1:23" customFormat="1" x14ac:dyDescent="0.35">
      <c r="A35" t="s">
        <v>39</v>
      </c>
      <c r="B35" s="81" t="s">
        <v>59</v>
      </c>
      <c r="C35" s="65">
        <v>34.286000000000001</v>
      </c>
      <c r="D35" s="66">
        <f>VLOOKUP(B35,'Reporte GC'!C1:H54,5,FALSE)</f>
        <v>0</v>
      </c>
      <c r="E35" s="115">
        <v>1.0065</v>
      </c>
      <c r="F35" s="112">
        <f t="shared" si="9"/>
        <v>2.0467304594978682E-3</v>
      </c>
      <c r="G35" s="11">
        <f t="shared" si="3"/>
        <v>0</v>
      </c>
      <c r="H35" s="116">
        <v>0.95620000000000005</v>
      </c>
      <c r="I35" s="117">
        <f t="shared" si="1"/>
        <v>0</v>
      </c>
      <c r="J35" s="12">
        <f t="shared" si="2"/>
        <v>0</v>
      </c>
      <c r="K35" s="118">
        <f t="shared" si="7"/>
        <v>0</v>
      </c>
      <c r="L35" s="10">
        <f t="shared" si="5"/>
        <v>3.4000000000000002E-2</v>
      </c>
    </row>
    <row r="36" spans="1:23" customFormat="1" x14ac:dyDescent="0.35">
      <c r="A36" t="s">
        <v>14</v>
      </c>
      <c r="B36" s="82" t="s">
        <v>60</v>
      </c>
      <c r="C36" s="65">
        <v>34.731999999999999</v>
      </c>
      <c r="D36" s="66">
        <f>VLOOKUP(B36,'Reporte GC'!C1:H54,5,FALSE)</f>
        <v>0</v>
      </c>
      <c r="E36" s="113">
        <v>1.0119</v>
      </c>
      <c r="F36" s="112">
        <f t="shared" si="9"/>
        <v>2.0467304594978682E-3</v>
      </c>
      <c r="G36" s="11">
        <f t="shared" si="3"/>
        <v>0</v>
      </c>
      <c r="H36" s="116">
        <v>0.95879999999999999</v>
      </c>
      <c r="I36" s="117">
        <f t="shared" si="1"/>
        <v>0</v>
      </c>
      <c r="J36" s="12">
        <f t="shared" si="2"/>
        <v>0</v>
      </c>
      <c r="K36" s="118">
        <f t="shared" si="7"/>
        <v>0</v>
      </c>
      <c r="L36" s="10">
        <f t="shared" si="5"/>
        <v>3.4000000000000002E-2</v>
      </c>
      <c r="P36" s="29"/>
    </row>
    <row r="37" spans="1:23" customFormat="1" x14ac:dyDescent="0.35">
      <c r="A37" t="s">
        <v>39</v>
      </c>
      <c r="B37" s="83" t="s">
        <v>61</v>
      </c>
      <c r="C37" s="65">
        <v>35.093000000000004</v>
      </c>
      <c r="D37" s="66">
        <f>VLOOKUP(B37,'Reporte GC'!C1:H54,5,FALSE)</f>
        <v>0</v>
      </c>
      <c r="E37" s="115">
        <v>0.99760000000000004</v>
      </c>
      <c r="F37" s="112">
        <f t="shared" si="9"/>
        <v>2.0467304594978682E-3</v>
      </c>
      <c r="G37" s="11">
        <f t="shared" si="3"/>
        <v>0</v>
      </c>
      <c r="H37" s="116">
        <v>0.96330000000000005</v>
      </c>
      <c r="I37" s="117">
        <f t="shared" si="1"/>
        <v>0</v>
      </c>
      <c r="J37" s="12">
        <f t="shared" si="2"/>
        <v>0</v>
      </c>
      <c r="K37" s="118">
        <f t="shared" si="7"/>
        <v>0</v>
      </c>
      <c r="L37" s="10">
        <f t="shared" si="5"/>
        <v>3.4000000000000002E-2</v>
      </c>
    </row>
    <row r="38" spans="1:23" customFormat="1" x14ac:dyDescent="0.35">
      <c r="A38" t="s">
        <v>39</v>
      </c>
      <c r="B38" s="84" t="s">
        <v>62</v>
      </c>
      <c r="C38" s="65">
        <v>35.597999999999999</v>
      </c>
      <c r="D38" s="66">
        <f>VLOOKUP(B38,'Reporte GC'!C1:H54,5,FALSE)</f>
        <v>0</v>
      </c>
      <c r="E38" s="115">
        <v>1.0065</v>
      </c>
      <c r="F38" s="112">
        <f t="shared" si="9"/>
        <v>2.0467304594978682E-3</v>
      </c>
      <c r="G38" s="11">
        <f t="shared" si="3"/>
        <v>0</v>
      </c>
      <c r="H38" s="116">
        <f>0.9562</f>
        <v>0.95620000000000005</v>
      </c>
      <c r="I38" s="117">
        <f t="shared" si="1"/>
        <v>0</v>
      </c>
      <c r="J38" s="12">
        <f t="shared" si="2"/>
        <v>0</v>
      </c>
      <c r="K38" s="118">
        <f t="shared" si="7"/>
        <v>0</v>
      </c>
      <c r="L38" s="10">
        <f t="shared" si="5"/>
        <v>3.4000000000000002E-2</v>
      </c>
    </row>
    <row r="39" spans="1:23" customFormat="1" x14ac:dyDescent="0.35">
      <c r="A39" t="s">
        <v>39</v>
      </c>
      <c r="B39" s="72" t="s">
        <v>114</v>
      </c>
      <c r="C39" s="65"/>
      <c r="D39" s="66">
        <f>VLOOKUP(B39,'Reporte GC'!C1:H54,5,FALSE)</f>
        <v>0</v>
      </c>
      <c r="E39" s="115">
        <v>0.99760000000000004</v>
      </c>
      <c r="F39" s="112">
        <f t="shared" si="9"/>
        <v>2.0467304594978682E-3</v>
      </c>
      <c r="G39" s="11">
        <f t="shared" si="3"/>
        <v>0</v>
      </c>
      <c r="H39" s="116">
        <v>0.95599999999999996</v>
      </c>
      <c r="I39" s="117">
        <f t="shared" si="1"/>
        <v>0</v>
      </c>
      <c r="J39" s="12">
        <f t="shared" si="2"/>
        <v>0</v>
      </c>
      <c r="K39" s="118">
        <f t="shared" si="7"/>
        <v>0</v>
      </c>
      <c r="L39" s="10">
        <f t="shared" si="5"/>
        <v>3.4000000000000002E-2</v>
      </c>
    </row>
    <row r="40" spans="1:23" customFormat="1" x14ac:dyDescent="0.35">
      <c r="A40" t="s">
        <v>39</v>
      </c>
      <c r="B40" s="85" t="s">
        <v>63</v>
      </c>
      <c r="C40" s="65">
        <v>36.927</v>
      </c>
      <c r="D40" s="66">
        <f>VLOOKUP(B40,'Reporte GC'!C1:H54,5,FALSE)</f>
        <v>510.78225708007813</v>
      </c>
      <c r="E40" s="115">
        <v>0.998</v>
      </c>
      <c r="F40" s="112">
        <f t="shared" si="9"/>
        <v>2.0467304594978682E-3</v>
      </c>
      <c r="G40" s="11">
        <f t="shared" si="3"/>
        <v>1.2590100704070815E-3</v>
      </c>
      <c r="H40" s="116">
        <v>0.95569999999999999</v>
      </c>
      <c r="I40" s="117">
        <f t="shared" si="1"/>
        <v>3.9106329777625972</v>
      </c>
      <c r="J40" s="12">
        <f>H40*G40</f>
        <v>1.2032359242880478E-3</v>
      </c>
      <c r="K40" s="118">
        <f>(J40/L40)*100</f>
        <v>3.5389291890824932</v>
      </c>
      <c r="L40" s="10">
        <f t="shared" ref="L40:L45" si="10">L39</f>
        <v>3.4000000000000002E-2</v>
      </c>
      <c r="W40" s="10">
        <f>L39</f>
        <v>3.4000000000000002E-2</v>
      </c>
    </row>
    <row r="41" spans="1:23" customFormat="1" x14ac:dyDescent="0.35">
      <c r="A41" t="s">
        <v>14</v>
      </c>
      <c r="B41" s="86" t="s">
        <v>64</v>
      </c>
      <c r="C41" s="65">
        <v>37.773000000000003</v>
      </c>
      <c r="D41" s="66">
        <f>VLOOKUP(B41,'Reporte GC'!C1:H54,5,FALSE)</f>
        <v>37.212299346923828</v>
      </c>
      <c r="E41" s="113">
        <v>1.0057</v>
      </c>
      <c r="F41" s="112">
        <f t="shared" si="9"/>
        <v>2.0467304594978682E-3</v>
      </c>
      <c r="G41" s="11">
        <f t="shared" si="3"/>
        <v>9.2431034930229617E-5</v>
      </c>
      <c r="H41" s="116">
        <v>0.96040000000000003</v>
      </c>
      <c r="I41" s="117">
        <f t="shared" si="1"/>
        <v>0.28490348477715299</v>
      </c>
      <c r="J41" s="12">
        <f>H41*G41</f>
        <v>8.8770765946992523E-5</v>
      </c>
      <c r="K41" s="118">
        <f>(J41/L41)*100</f>
        <v>0.26109048807938978</v>
      </c>
      <c r="L41" s="10">
        <f t="shared" si="10"/>
        <v>3.4000000000000002E-2</v>
      </c>
    </row>
    <row r="42" spans="1:23" customFormat="1" x14ac:dyDescent="0.35">
      <c r="A42" t="s">
        <v>31</v>
      </c>
      <c r="B42" s="87" t="s">
        <v>65</v>
      </c>
      <c r="C42" s="65">
        <v>38.31</v>
      </c>
      <c r="D42" s="66">
        <f>VLOOKUP(B42,'Reporte GC'!C1:H54,5,FALSE)</f>
        <v>0</v>
      </c>
      <c r="E42" s="111">
        <v>1</v>
      </c>
      <c r="F42" s="112">
        <f t="shared" si="9"/>
        <v>2.0467304594978682E-3</v>
      </c>
      <c r="G42" s="11">
        <f t="shared" si="3"/>
        <v>0</v>
      </c>
      <c r="H42" s="116">
        <v>0.96020000000000005</v>
      </c>
      <c r="I42" s="117">
        <f t="shared" si="1"/>
        <v>0</v>
      </c>
      <c r="J42" s="12">
        <f>H42*G42</f>
        <v>0</v>
      </c>
      <c r="K42" s="118">
        <f>(J42/L42)*100</f>
        <v>0</v>
      </c>
      <c r="L42" s="10">
        <f t="shared" si="10"/>
        <v>3.4000000000000002E-2</v>
      </c>
    </row>
    <row r="43" spans="1:23" customFormat="1" x14ac:dyDescent="0.35">
      <c r="A43" t="s">
        <v>39</v>
      </c>
      <c r="B43" s="88" t="s">
        <v>66</v>
      </c>
      <c r="C43" s="65">
        <v>39.72</v>
      </c>
      <c r="D43" s="66">
        <f>VLOOKUP(B43,'Reporte GC'!C1:H54,5,FALSE)</f>
        <v>0</v>
      </c>
      <c r="E43" s="111">
        <v>0.99419999999999997</v>
      </c>
      <c r="F43" s="112">
        <f t="shared" si="9"/>
        <v>2.0467304594978682E-3</v>
      </c>
      <c r="G43" s="11">
        <f t="shared" si="3"/>
        <v>0</v>
      </c>
      <c r="H43" s="116">
        <v>0.96</v>
      </c>
      <c r="I43" s="117">
        <f t="shared" si="1"/>
        <v>0</v>
      </c>
      <c r="J43" s="12">
        <f>H43*G43</f>
        <v>0</v>
      </c>
      <c r="K43" s="118">
        <f>(J43/L43)*100</f>
        <v>0</v>
      </c>
      <c r="L43" s="10">
        <f t="shared" si="10"/>
        <v>3.4000000000000002E-2</v>
      </c>
    </row>
    <row r="44" spans="1:23" customFormat="1" x14ac:dyDescent="0.35">
      <c r="A44" t="s">
        <v>14</v>
      </c>
      <c r="B44" s="89" t="s">
        <v>67</v>
      </c>
      <c r="C44" s="65">
        <v>40.869</v>
      </c>
      <c r="D44" s="66">
        <f>VLOOKUP(B44,'Reporte GC'!C1:H54,5,FALSE)</f>
        <v>828.70086669921875</v>
      </c>
      <c r="E44" s="13">
        <v>1</v>
      </c>
      <c r="F44" s="60">
        <f t="shared" si="9"/>
        <v>2.0467304594978682E-3</v>
      </c>
      <c r="G44" s="11">
        <f t="shared" si="3"/>
        <v>2.0467304594978682E-3</v>
      </c>
      <c r="H44" s="14">
        <v>0.96189999999999998</v>
      </c>
      <c r="I44" s="191">
        <v>0</v>
      </c>
      <c r="J44" s="13">
        <v>0</v>
      </c>
      <c r="K44" s="62">
        <v>0</v>
      </c>
      <c r="L44" s="14">
        <f t="shared" si="10"/>
        <v>3.4000000000000002E-2</v>
      </c>
    </row>
    <row r="45" spans="1:23" customFormat="1" x14ac:dyDescent="0.35">
      <c r="A45" t="s">
        <v>39</v>
      </c>
      <c r="B45" s="72" t="s">
        <v>115</v>
      </c>
      <c r="C45" s="65"/>
      <c r="D45" s="66">
        <f>VLOOKUP(B45,'Reporte GC'!C1:H54,5,FALSE)</f>
        <v>0</v>
      </c>
      <c r="E45" s="113">
        <v>0.9819</v>
      </c>
      <c r="F45" s="112">
        <f t="shared" si="9"/>
        <v>2.0467304594978682E-3</v>
      </c>
      <c r="G45" s="11">
        <f t="shared" si="3"/>
        <v>0</v>
      </c>
      <c r="H45" s="116">
        <v>0.95760000000000001</v>
      </c>
      <c r="I45" s="117">
        <f t="shared" si="1"/>
        <v>0</v>
      </c>
      <c r="J45" s="12">
        <f t="shared" ref="J45:J51" si="11">H45*G45</f>
        <v>0</v>
      </c>
      <c r="K45" s="118">
        <f t="shared" ref="K45:K51" si="12">(J45/L45)*100</f>
        <v>0</v>
      </c>
      <c r="L45" s="10">
        <f t="shared" si="10"/>
        <v>3.4000000000000002E-2</v>
      </c>
    </row>
    <row r="46" spans="1:23" customFormat="1" x14ac:dyDescent="0.35">
      <c r="A46" t="s">
        <v>39</v>
      </c>
      <c r="B46" s="90" t="s">
        <v>116</v>
      </c>
      <c r="C46" s="65"/>
      <c r="D46" s="66">
        <v>0</v>
      </c>
      <c r="E46" s="115">
        <v>1.0163</v>
      </c>
      <c r="F46" s="112">
        <f t="shared" si="9"/>
        <v>2.0467304594978682E-3</v>
      </c>
      <c r="G46" s="11">
        <f t="shared" si="3"/>
        <v>0</v>
      </c>
      <c r="H46" s="116">
        <v>0.95930000000000004</v>
      </c>
      <c r="I46" s="117">
        <f t="shared" si="1"/>
        <v>0</v>
      </c>
      <c r="J46" s="12">
        <f t="shared" si="11"/>
        <v>0</v>
      </c>
      <c r="K46" s="118">
        <f t="shared" si="12"/>
        <v>0</v>
      </c>
      <c r="L46" s="10">
        <f t="shared" ref="L46:L51" si="13">L45</f>
        <v>3.4000000000000002E-2</v>
      </c>
    </row>
    <row r="47" spans="1:23" customFormat="1" x14ac:dyDescent="0.35">
      <c r="A47" t="s">
        <v>39</v>
      </c>
      <c r="B47" s="78" t="s">
        <v>117</v>
      </c>
      <c r="C47" s="65"/>
      <c r="D47" s="66">
        <f>VLOOKUP(B47,'Reporte GC'!C1:H54,5,FALSE)</f>
        <v>17.822084426879883</v>
      </c>
      <c r="E47" s="115">
        <v>1.0163</v>
      </c>
      <c r="F47" s="112">
        <f t="shared" si="9"/>
        <v>2.0467304594978682E-3</v>
      </c>
      <c r="G47" s="11">
        <f t="shared" si="3"/>
        <v>4.4734571529510969E-5</v>
      </c>
      <c r="H47" s="116">
        <v>0.95930000000000004</v>
      </c>
      <c r="I47" s="117">
        <f t="shared" si="1"/>
        <v>0.13644880989141156</v>
      </c>
      <c r="J47" s="12">
        <f t="shared" si="11"/>
        <v>4.2913874468259876E-5</v>
      </c>
      <c r="K47" s="118">
        <f t="shared" si="12"/>
        <v>0.12621727784782316</v>
      </c>
      <c r="L47" s="10">
        <f t="shared" si="13"/>
        <v>3.4000000000000002E-2</v>
      </c>
    </row>
    <row r="48" spans="1:23" customFormat="1" x14ac:dyDescent="0.35">
      <c r="A48" t="s">
        <v>14</v>
      </c>
      <c r="B48" s="91" t="s">
        <v>68</v>
      </c>
      <c r="C48" s="65">
        <v>28.434000000000001</v>
      </c>
      <c r="D48" s="66">
        <f>VLOOKUP(B48,'Reporte GC'!C1:H54,5,FALSE)</f>
        <v>0</v>
      </c>
      <c r="E48" s="113">
        <v>0.99480000000000002</v>
      </c>
      <c r="F48" s="112">
        <f t="shared" si="9"/>
        <v>2.0467304594978682E-3</v>
      </c>
      <c r="G48" s="11">
        <f t="shared" si="3"/>
        <v>0</v>
      </c>
      <c r="H48" s="116">
        <v>0.96330000000000005</v>
      </c>
      <c r="I48" s="117">
        <f t="shared" si="1"/>
        <v>0</v>
      </c>
      <c r="J48" s="12">
        <f t="shared" si="11"/>
        <v>0</v>
      </c>
      <c r="K48" s="118">
        <f t="shared" si="12"/>
        <v>0</v>
      </c>
      <c r="L48" s="10">
        <f t="shared" si="13"/>
        <v>3.4000000000000002E-2</v>
      </c>
    </row>
    <row r="49" spans="1:17" customFormat="1" x14ac:dyDescent="0.35">
      <c r="A49" t="s">
        <v>39</v>
      </c>
      <c r="B49" s="92" t="s">
        <v>69</v>
      </c>
      <c r="C49" s="65">
        <v>44.841000000000001</v>
      </c>
      <c r="D49" s="66">
        <f>VLOOKUP(B49,'Reporte GC'!C1:H54,5,FALSE)</f>
        <v>538.8333740234375</v>
      </c>
      <c r="E49" s="115">
        <v>1.0245</v>
      </c>
      <c r="F49" s="112">
        <f t="shared" si="9"/>
        <v>2.0467304594978682E-3</v>
      </c>
      <c r="G49" s="11">
        <f t="shared" si="3"/>
        <v>1.363418898484703E-3</v>
      </c>
      <c r="H49" s="116">
        <v>0.95899999999999996</v>
      </c>
      <c r="I49" s="117">
        <f t="shared" si="1"/>
        <v>4.1253969431533886</v>
      </c>
      <c r="J49" s="12">
        <f t="shared" si="11"/>
        <v>1.3075187236468301E-3</v>
      </c>
      <c r="K49" s="118">
        <f t="shared" si="12"/>
        <v>3.8456433048436178</v>
      </c>
      <c r="L49" s="10">
        <f t="shared" si="13"/>
        <v>3.4000000000000002E-2</v>
      </c>
    </row>
    <row r="50" spans="1:17" customFormat="1" x14ac:dyDescent="0.35">
      <c r="A50" t="s">
        <v>31</v>
      </c>
      <c r="B50" s="93" t="s">
        <v>149</v>
      </c>
      <c r="C50" s="65"/>
      <c r="D50" s="66">
        <f>VLOOKUP(B50,'Reporte GC'!C1:H54,5,FALSE)</f>
        <v>21.128074645996094</v>
      </c>
      <c r="E50" s="111">
        <v>0.98960000000000004</v>
      </c>
      <c r="F50" s="112">
        <f t="shared" si="9"/>
        <v>2.0467304594978682E-3</v>
      </c>
      <c r="G50" s="11">
        <f t="shared" si="3"/>
        <v>5.1639552363567888E-5</v>
      </c>
      <c r="H50" s="116">
        <v>0.96309999999999996</v>
      </c>
      <c r="I50" s="117">
        <f t="shared" si="1"/>
        <v>0.1617600148047208</v>
      </c>
      <c r="J50" s="12">
        <f t="shared" si="11"/>
        <v>4.9734052881352233E-5</v>
      </c>
      <c r="K50" s="118">
        <f t="shared" si="12"/>
        <v>0.1462766261216242</v>
      </c>
      <c r="L50" s="10">
        <f t="shared" si="13"/>
        <v>3.4000000000000002E-2</v>
      </c>
    </row>
    <row r="51" spans="1:17" customFormat="1" x14ac:dyDescent="0.35">
      <c r="B51" s="27" t="s">
        <v>71</v>
      </c>
      <c r="C51" s="61" t="s">
        <v>72</v>
      </c>
      <c r="D51" s="28">
        <f>'Reporte GC'!S60</f>
        <v>2.143242597581775</v>
      </c>
      <c r="E51" s="113">
        <v>1</v>
      </c>
      <c r="F51" s="112">
        <f t="shared" si="9"/>
        <v>2.0467304594978682E-3</v>
      </c>
      <c r="G51" s="11">
        <f t="shared" si="3"/>
        <v>5.2933936512414729E-6</v>
      </c>
      <c r="H51" s="116">
        <v>0.95</v>
      </c>
      <c r="I51" s="117">
        <f t="shared" si="1"/>
        <v>1.6409017864798026E-2</v>
      </c>
      <c r="J51" s="12">
        <f t="shared" si="11"/>
        <v>5.0287239686793987E-6</v>
      </c>
      <c r="K51" s="118">
        <f t="shared" si="12"/>
        <v>1.4790364613762937E-2</v>
      </c>
      <c r="L51" s="10">
        <f t="shared" si="13"/>
        <v>3.4000000000000002E-2</v>
      </c>
    </row>
    <row r="52" spans="1:17" customFormat="1" x14ac:dyDescent="0.35">
      <c r="B52" t="s">
        <v>73</v>
      </c>
      <c r="D52" s="9">
        <f>SUM(D2:D43,D45:D51)</f>
        <v>13061.370371103289</v>
      </c>
      <c r="I52" s="26"/>
      <c r="O52" s="2"/>
    </row>
    <row r="53" spans="1:17" x14ac:dyDescent="0.35">
      <c r="I53" s="3"/>
      <c r="N53"/>
      <c r="Q53"/>
    </row>
    <row r="54" spans="1:17" x14ac:dyDescent="0.35">
      <c r="I54" s="5"/>
      <c r="K54" s="44"/>
      <c r="Q54"/>
    </row>
    <row r="55" spans="1:17" x14ac:dyDescent="0.35">
      <c r="B55" s="43"/>
      <c r="D55" s="188"/>
      <c r="H55" s="44"/>
      <c r="N55"/>
      <c r="O55"/>
    </row>
    <row r="56" spans="1:17" x14ac:dyDescent="0.35">
      <c r="B56" s="45"/>
      <c r="D56" s="188"/>
      <c r="E56"/>
      <c r="F56" s="45"/>
      <c r="H56"/>
    </row>
    <row r="57" spans="1:17" x14ac:dyDescent="0.35">
      <c r="A57"/>
      <c r="B57" s="45"/>
      <c r="D57" s="189"/>
      <c r="E57"/>
      <c r="F57" s="45"/>
      <c r="H57"/>
      <c r="Q57"/>
    </row>
    <row r="58" spans="1:17" x14ac:dyDescent="0.35">
      <c r="B58" s="45"/>
      <c r="D58" s="46"/>
      <c r="E58" s="47"/>
      <c r="F58" s="45"/>
      <c r="H58"/>
      <c r="I58" s="6"/>
      <c r="J58" s="6"/>
      <c r="Q58"/>
    </row>
    <row r="59" spans="1:17" x14ac:dyDescent="0.35">
      <c r="A59"/>
      <c r="B59" s="45"/>
      <c r="D59" s="4"/>
      <c r="E59" s="4"/>
      <c r="F59" s="45"/>
      <c r="H59"/>
      <c r="I59" s="4"/>
      <c r="J59" s="6"/>
      <c r="Q59"/>
    </row>
    <row r="60" spans="1:17" x14ac:dyDescent="0.35">
      <c r="B60" s="45"/>
      <c r="D60" s="6"/>
      <c r="E60" s="48"/>
      <c r="F60" s="45"/>
      <c r="H60"/>
      <c r="I60" s="4"/>
      <c r="J60" s="6"/>
      <c r="Q60"/>
    </row>
    <row r="61" spans="1:17" x14ac:dyDescent="0.35">
      <c r="A61"/>
      <c r="B61" s="45"/>
      <c r="D61" s="4"/>
      <c r="E61" s="4"/>
      <c r="F61" s="45"/>
      <c r="H61"/>
      <c r="I61" s="4"/>
      <c r="J61" s="6"/>
      <c r="Q61"/>
    </row>
    <row r="62" spans="1:17" x14ac:dyDescent="0.35">
      <c r="B62" s="45"/>
      <c r="D62" s="4"/>
      <c r="E62" s="4"/>
      <c r="F62" s="45"/>
      <c r="H62"/>
      <c r="I62" s="4"/>
      <c r="J62" s="6"/>
      <c r="Q62"/>
    </row>
    <row r="63" spans="1:17" x14ac:dyDescent="0.35">
      <c r="A63"/>
      <c r="B63" s="49"/>
      <c r="E63"/>
      <c r="F63" s="45"/>
      <c r="H63"/>
      <c r="I63" s="4"/>
      <c r="J63" s="6"/>
      <c r="Q63"/>
    </row>
    <row r="64" spans="1:17" x14ac:dyDescent="0.35">
      <c r="B64" s="45"/>
      <c r="D64"/>
      <c r="E64"/>
      <c r="F64" s="45"/>
      <c r="H64"/>
      <c r="I64" s="4"/>
      <c r="J64" s="7"/>
      <c r="Q64"/>
    </row>
    <row r="65" spans="1:17" x14ac:dyDescent="0.35">
      <c r="A65"/>
      <c r="B65" s="45"/>
      <c r="E65"/>
      <c r="F65" s="45"/>
      <c r="I65" s="4"/>
      <c r="J65" s="6"/>
      <c r="Q65"/>
    </row>
    <row r="66" spans="1:17" x14ac:dyDescent="0.35">
      <c r="B66" s="45"/>
      <c r="D66" s="4"/>
      <c r="E66" s="4"/>
      <c r="F66" s="45"/>
      <c r="I66" s="6"/>
      <c r="J66" s="6"/>
      <c r="N66"/>
      <c r="Q66"/>
    </row>
    <row r="67" spans="1:17" x14ac:dyDescent="0.35">
      <c r="A67"/>
      <c r="B67" s="45"/>
      <c r="C67"/>
      <c r="E67"/>
      <c r="F67" s="10"/>
      <c r="I67" s="6"/>
      <c r="J67" s="6"/>
      <c r="N67"/>
      <c r="Q67"/>
    </row>
    <row r="68" spans="1:17" x14ac:dyDescent="0.35">
      <c r="B68" s="50"/>
      <c r="C68"/>
      <c r="E68"/>
      <c r="F68" s="10"/>
      <c r="I68" s="6"/>
      <c r="J68" s="6"/>
      <c r="N68"/>
      <c r="Q68"/>
    </row>
    <row r="69" spans="1:17" x14ac:dyDescent="0.35">
      <c r="A69"/>
      <c r="B69" s="51"/>
      <c r="C69"/>
      <c r="E69"/>
      <c r="F69" s="10"/>
      <c r="I69" s="6"/>
      <c r="J69" s="6"/>
      <c r="N69"/>
      <c r="Q69"/>
    </row>
    <row r="70" spans="1:17" x14ac:dyDescent="0.35">
      <c r="B70" s="45"/>
      <c r="E70"/>
      <c r="F70" s="45"/>
      <c r="I70" s="6"/>
      <c r="J70" s="6"/>
      <c r="N70"/>
      <c r="Q70"/>
    </row>
    <row r="71" spans="1:17" x14ac:dyDescent="0.35">
      <c r="A71"/>
      <c r="B71" s="52"/>
      <c r="C71"/>
      <c r="E71"/>
      <c r="F71" s="10"/>
      <c r="I71" s="6"/>
      <c r="J71" s="6"/>
      <c r="N71"/>
      <c r="Q71"/>
    </row>
    <row r="72" spans="1:17" x14ac:dyDescent="0.35">
      <c r="B72" s="45"/>
      <c r="E72"/>
      <c r="F72" s="45"/>
      <c r="I72" s="6"/>
      <c r="J72" s="7"/>
      <c r="N72"/>
      <c r="Q72"/>
    </row>
    <row r="73" spans="1:17" x14ac:dyDescent="0.35">
      <c r="A73"/>
      <c r="B73" s="52"/>
      <c r="C73"/>
      <c r="E73"/>
      <c r="F73" s="10"/>
      <c r="I73" s="6"/>
      <c r="J73" s="6"/>
      <c r="N73"/>
      <c r="Q73"/>
    </row>
    <row r="74" spans="1:17" x14ac:dyDescent="0.35">
      <c r="B74" s="45"/>
      <c r="C74"/>
      <c r="E74"/>
      <c r="F74" s="10"/>
      <c r="I74" s="6"/>
      <c r="J74" s="6"/>
      <c r="N74"/>
    </row>
    <row r="75" spans="1:17" x14ac:dyDescent="0.35">
      <c r="A75"/>
      <c r="B75"/>
      <c r="C75"/>
      <c r="E75"/>
      <c r="F75" s="10"/>
      <c r="I75" s="6"/>
      <c r="J75" s="6"/>
      <c r="N75"/>
    </row>
    <row r="76" spans="1:17" x14ac:dyDescent="0.35">
      <c r="B76" s="45"/>
      <c r="D76" s="4"/>
      <c r="E76" s="4"/>
      <c r="F76" s="45"/>
      <c r="I76" s="6"/>
      <c r="J76" s="6"/>
      <c r="N76"/>
    </row>
    <row r="77" spans="1:17" x14ac:dyDescent="0.35">
      <c r="A77"/>
      <c r="B77" s="45"/>
      <c r="C77" s="9"/>
      <c r="E77"/>
      <c r="F77" s="53"/>
      <c r="I77" s="6"/>
      <c r="J77" s="6"/>
      <c r="N77"/>
      <c r="O77" s="6"/>
    </row>
    <row r="78" spans="1:17" x14ac:dyDescent="0.35">
      <c r="B78" s="54"/>
      <c r="C78"/>
      <c r="E78"/>
      <c r="F78" s="10"/>
      <c r="I78" s="6"/>
      <c r="J78" s="6"/>
      <c r="N78"/>
    </row>
    <row r="79" spans="1:17" x14ac:dyDescent="0.35">
      <c r="A79"/>
      <c r="B79" s="45"/>
      <c r="D79" s="4"/>
      <c r="E79" s="4"/>
      <c r="F79" s="45"/>
      <c r="I79" s="6"/>
      <c r="J79" s="6"/>
      <c r="N79"/>
    </row>
    <row r="80" spans="1:17" x14ac:dyDescent="0.35">
      <c r="B80" s="52"/>
      <c r="C80"/>
      <c r="E80"/>
      <c r="F80" s="10"/>
      <c r="I80" s="6"/>
      <c r="J80" s="6"/>
      <c r="N80"/>
    </row>
    <row r="81" spans="1:14" x14ac:dyDescent="0.35">
      <c r="A81"/>
      <c r="B81" s="55"/>
      <c r="E81"/>
      <c r="F81" s="45"/>
      <c r="I81" s="6"/>
      <c r="J81" s="6"/>
      <c r="N81"/>
    </row>
    <row r="82" spans="1:14" x14ac:dyDescent="0.35">
      <c r="B82" s="52"/>
      <c r="C82"/>
      <c r="D82" s="4"/>
      <c r="E82" s="4"/>
      <c r="F82" s="10"/>
      <c r="I82" s="6"/>
      <c r="J82" s="6"/>
      <c r="N82"/>
    </row>
    <row r="83" spans="1:14" x14ac:dyDescent="0.35">
      <c r="A83"/>
      <c r="B83"/>
      <c r="C83"/>
      <c r="E83"/>
      <c r="F83" s="10"/>
      <c r="I83" s="6"/>
      <c r="J83" s="6"/>
      <c r="N83"/>
    </row>
    <row r="84" spans="1:14" x14ac:dyDescent="0.35">
      <c r="B84" s="52"/>
      <c r="C84" s="9"/>
      <c r="E84"/>
      <c r="F84" s="53"/>
      <c r="I84" s="6"/>
      <c r="J84" s="6"/>
      <c r="N84"/>
    </row>
    <row r="85" spans="1:14" x14ac:dyDescent="0.35">
      <c r="A85"/>
      <c r="B85" s="45"/>
      <c r="F85" s="45"/>
      <c r="I85" s="6"/>
      <c r="J85" s="8"/>
      <c r="N85"/>
    </row>
    <row r="86" spans="1:14" x14ac:dyDescent="0.35">
      <c r="B86" s="56"/>
      <c r="E86"/>
      <c r="F86" s="45"/>
      <c r="I86" s="6"/>
      <c r="J86" s="6"/>
      <c r="N86"/>
    </row>
    <row r="87" spans="1:14" x14ac:dyDescent="0.35">
      <c r="A87"/>
      <c r="B87"/>
      <c r="C87"/>
      <c r="E87"/>
      <c r="F87" s="10"/>
      <c r="I87" s="6"/>
      <c r="J87" s="7"/>
    </row>
    <row r="88" spans="1:14" x14ac:dyDescent="0.35">
      <c r="B88" s="45"/>
      <c r="F88" s="45"/>
      <c r="I88" s="6"/>
      <c r="J88" s="6"/>
    </row>
    <row r="89" spans="1:14" x14ac:dyDescent="0.35">
      <c r="A89"/>
      <c r="B89" s="57"/>
      <c r="F89" s="45"/>
      <c r="I89" s="6"/>
      <c r="J89" s="6"/>
    </row>
    <row r="90" spans="1:14" x14ac:dyDescent="0.35">
      <c r="B90" s="45"/>
      <c r="D90" s="4"/>
      <c r="E90" s="4"/>
      <c r="F90" s="10"/>
      <c r="I90" s="6"/>
      <c r="J90" s="8"/>
    </row>
    <row r="91" spans="1:14" x14ac:dyDescent="0.35">
      <c r="A91"/>
      <c r="B91" s="45"/>
      <c r="F91" s="45"/>
      <c r="I91" s="6"/>
      <c r="J91" s="8"/>
    </row>
    <row r="92" spans="1:14" x14ac:dyDescent="0.35">
      <c r="B92"/>
      <c r="F92" s="45"/>
      <c r="I92" s="6"/>
      <c r="J92" s="6"/>
    </row>
    <row r="93" spans="1:14" x14ac:dyDescent="0.35">
      <c r="A93"/>
      <c r="B93" s="52"/>
      <c r="C93" s="9"/>
      <c r="F93" s="53"/>
      <c r="I93" s="6"/>
      <c r="J93" s="6"/>
    </row>
    <row r="94" spans="1:14" x14ac:dyDescent="0.35">
      <c r="B94" s="45"/>
      <c r="E94"/>
      <c r="F94" s="45"/>
      <c r="I94" s="6"/>
      <c r="J94" s="6"/>
    </row>
    <row r="95" spans="1:14" x14ac:dyDescent="0.35">
      <c r="A95"/>
      <c r="B95" s="45"/>
      <c r="F95" s="45"/>
      <c r="J95" s="6"/>
    </row>
    <row r="96" spans="1:14" x14ac:dyDescent="0.35">
      <c r="B96" s="45"/>
      <c r="E96"/>
      <c r="F96" s="45"/>
      <c r="I96" s="6"/>
      <c r="J96" s="6"/>
    </row>
    <row r="97" spans="1:10" x14ac:dyDescent="0.35">
      <c r="A97"/>
      <c r="B97" s="45"/>
      <c r="D97" s="4"/>
      <c r="E97" s="4"/>
      <c r="F97" s="45"/>
      <c r="I97" s="6"/>
      <c r="J97" s="6"/>
    </row>
    <row r="98" spans="1:10" x14ac:dyDescent="0.35">
      <c r="B98" s="45"/>
      <c r="F98" s="45"/>
      <c r="I98" s="6"/>
      <c r="J98" s="6"/>
    </row>
    <row r="99" spans="1:10" x14ac:dyDescent="0.35">
      <c r="A99"/>
      <c r="B99" s="52"/>
      <c r="F99" s="45"/>
      <c r="I99" s="6"/>
      <c r="J99" s="6"/>
    </row>
    <row r="100" spans="1:10" x14ac:dyDescent="0.35">
      <c r="B100" s="10"/>
      <c r="E100"/>
      <c r="F100" s="45"/>
      <c r="I100" s="6"/>
      <c r="J100" s="6"/>
    </row>
    <row r="101" spans="1:10" x14ac:dyDescent="0.35">
      <c r="B101" s="56"/>
      <c r="F101" s="45"/>
      <c r="I101" s="6"/>
      <c r="J101" s="6"/>
    </row>
    <row r="102" spans="1:10" x14ac:dyDescent="0.35">
      <c r="A102"/>
      <c r="B102" s="10"/>
      <c r="F102" s="45"/>
      <c r="I102" s="6"/>
      <c r="J102" s="6"/>
    </row>
    <row r="103" spans="1:10" x14ac:dyDescent="0.35">
      <c r="B103" s="45"/>
      <c r="F103" s="45"/>
    </row>
    <row r="104" spans="1:10" x14ac:dyDescent="0.35">
      <c r="A104"/>
      <c r="B104" s="10"/>
      <c r="F104" s="45"/>
    </row>
    <row r="105" spans="1:10" x14ac:dyDescent="0.35">
      <c r="F105"/>
    </row>
    <row r="106" spans="1:10" x14ac:dyDescent="0.35">
      <c r="E106" s="58"/>
    </row>
    <row r="107" spans="1:10" x14ac:dyDescent="0.35">
      <c r="E107" s="58"/>
    </row>
  </sheetData>
  <autoFilter ref="A1:L51" xr:uid="{00000000-0009-0000-0000-000000000000}"/>
  <mergeCells count="1">
    <mergeCell ref="N25:P25"/>
  </mergeCells>
  <phoneticPr fontId="19" type="noConversion"/>
  <pageMargins left="0.7" right="0.7" top="0.75" bottom="0.75" header="0.3" footer="0.3"/>
  <pageSetup scale="26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K45"/>
  <sheetViews>
    <sheetView workbookViewId="0">
      <selection activeCell="A2" sqref="A2"/>
    </sheetView>
  </sheetViews>
  <sheetFormatPr defaultColWidth="11.453125" defaultRowHeight="14.5" x14ac:dyDescent="0.35"/>
  <cols>
    <col min="1" max="1" width="25" bestFit="1" customWidth="1"/>
    <col min="2" max="2" width="17.90625" customWidth="1"/>
    <col min="3" max="3" width="19.36328125" customWidth="1"/>
    <col min="4" max="4" width="30.6328125" customWidth="1"/>
    <col min="5" max="5" width="24.08984375" customWidth="1"/>
    <col min="6" max="6" width="16.453125" customWidth="1"/>
    <col min="7" max="7" width="8.08984375" customWidth="1"/>
    <col min="8" max="8" width="21.6328125" customWidth="1"/>
    <col min="9" max="9" width="20" customWidth="1"/>
    <col min="10" max="10" width="13.6328125" customWidth="1"/>
    <col min="12" max="12" width="25.08984375" customWidth="1"/>
  </cols>
  <sheetData>
    <row r="1" spans="1:11" x14ac:dyDescent="0.35">
      <c r="A1" s="30" t="s">
        <v>82</v>
      </c>
      <c r="B1" s="42" t="s">
        <v>104</v>
      </c>
      <c r="C1" s="42" t="s">
        <v>83</v>
      </c>
      <c r="D1" s="31" t="s">
        <v>106</v>
      </c>
    </row>
    <row r="2" spans="1:11" x14ac:dyDescent="0.35">
      <c r="A2" s="170" t="s">
        <v>150</v>
      </c>
      <c r="B2" s="102">
        <v>3.4000000000000002E-2</v>
      </c>
      <c r="C2" s="64">
        <f>'Concentración C23'!C5</f>
        <v>2.0467304594978682E-3</v>
      </c>
      <c r="D2" s="129"/>
    </row>
    <row r="3" spans="1:11" ht="15" thickBot="1" x14ac:dyDescent="0.4">
      <c r="A3" s="170"/>
      <c r="B3" s="102"/>
      <c r="C3" s="64">
        <f>'Concentración C23'!C6</f>
        <v>0</v>
      </c>
      <c r="D3" s="129"/>
    </row>
    <row r="4" spans="1:11" ht="15" thickBot="1" x14ac:dyDescent="0.4">
      <c r="A4" s="170"/>
      <c r="B4" s="102"/>
      <c r="C4" s="64">
        <f>'Concentración C23'!C7</f>
        <v>0</v>
      </c>
      <c r="D4" s="119"/>
    </row>
    <row r="5" spans="1:11" x14ac:dyDescent="0.35">
      <c r="A5" s="170"/>
      <c r="B5" s="102"/>
      <c r="C5" s="64">
        <f>'Concentración C23'!C8</f>
        <v>0</v>
      </c>
      <c r="D5" s="129"/>
    </row>
    <row r="6" spans="1:11" x14ac:dyDescent="0.35">
      <c r="A6" s="170"/>
      <c r="B6" s="101"/>
      <c r="C6" s="64">
        <f>'Concentración C23'!C9</f>
        <v>0</v>
      </c>
      <c r="D6" s="129"/>
    </row>
    <row r="7" spans="1:11" x14ac:dyDescent="0.35">
      <c r="A7" s="170"/>
      <c r="B7" s="102"/>
      <c r="C7" s="64">
        <f>'Concentración C23'!C10</f>
        <v>0</v>
      </c>
      <c r="D7" s="129"/>
      <c r="K7" s="105" t="s">
        <v>84</v>
      </c>
    </row>
    <row r="8" spans="1:11" x14ac:dyDescent="0.35">
      <c r="A8" s="170"/>
      <c r="B8" s="101"/>
      <c r="C8" s="64">
        <f>'Concentración C23'!C11</f>
        <v>0</v>
      </c>
      <c r="D8" s="129"/>
    </row>
    <row r="9" spans="1:11" x14ac:dyDescent="0.35">
      <c r="A9" s="170"/>
      <c r="B9" s="102"/>
      <c r="C9" s="64">
        <f>'Concentración C23'!C12</f>
        <v>0</v>
      </c>
      <c r="D9" s="129"/>
    </row>
    <row r="10" spans="1:11" x14ac:dyDescent="0.35">
      <c r="A10" s="170"/>
      <c r="B10" s="102"/>
      <c r="C10" s="64">
        <f>'Concentración C23'!C13</f>
        <v>0</v>
      </c>
      <c r="D10" s="129"/>
    </row>
    <row r="11" spans="1:11" x14ac:dyDescent="0.35">
      <c r="A11" s="170"/>
      <c r="B11" s="101"/>
      <c r="C11" s="64">
        <f>'Concentración C23'!C14</f>
        <v>0</v>
      </c>
      <c r="D11" s="129"/>
    </row>
    <row r="12" spans="1:11" x14ac:dyDescent="0.35">
      <c r="A12" s="170"/>
      <c r="B12" s="101"/>
      <c r="C12" s="64">
        <f>'Concentración C23'!C15</f>
        <v>0</v>
      </c>
      <c r="D12" s="129"/>
    </row>
    <row r="13" spans="1:11" x14ac:dyDescent="0.35">
      <c r="A13" s="170"/>
      <c r="B13" s="103"/>
      <c r="C13" s="64">
        <f>'Concentración C23'!C16</f>
        <v>0</v>
      </c>
      <c r="D13" s="129"/>
      <c r="E13" s="26"/>
    </row>
    <row r="14" spans="1:11" x14ac:dyDescent="0.35">
      <c r="A14" s="170"/>
      <c r="B14" s="102"/>
      <c r="C14" s="64">
        <f>'Concentración C23'!C17</f>
        <v>0</v>
      </c>
      <c r="D14" s="129"/>
    </row>
    <row r="15" spans="1:11" x14ac:dyDescent="0.35">
      <c r="A15" s="170"/>
      <c r="B15" s="102"/>
      <c r="C15" s="64">
        <f>'Concentración C23'!C18</f>
        <v>0</v>
      </c>
      <c r="D15" s="129"/>
    </row>
    <row r="16" spans="1:11" x14ac:dyDescent="0.35">
      <c r="A16" s="170"/>
      <c r="B16" s="102"/>
      <c r="C16" s="64">
        <f>'Concentración C23'!C19</f>
        <v>0</v>
      </c>
      <c r="D16" s="129"/>
    </row>
    <row r="17" spans="1:5" x14ac:dyDescent="0.35">
      <c r="A17" s="170"/>
      <c r="B17" s="102"/>
      <c r="C17" s="64">
        <f>'Concentración C23'!C20</f>
        <v>0</v>
      </c>
      <c r="D17" s="129"/>
    </row>
    <row r="18" spans="1:5" x14ac:dyDescent="0.35">
      <c r="A18" s="170"/>
      <c r="B18" s="102"/>
      <c r="C18" s="64">
        <f>'Concentración C23'!C21</f>
        <v>0</v>
      </c>
      <c r="D18" s="129"/>
    </row>
    <row r="19" spans="1:5" x14ac:dyDescent="0.35">
      <c r="A19" s="170"/>
      <c r="B19" s="102"/>
      <c r="C19" s="64">
        <f>'Concentración C23'!C22</f>
        <v>0</v>
      </c>
      <c r="D19" s="129"/>
    </row>
    <row r="20" spans="1:5" ht="15" thickBot="1" x14ac:dyDescent="0.4">
      <c r="A20" s="170"/>
      <c r="B20" s="102"/>
      <c r="C20" s="64">
        <f>'Concentración C23'!C23</f>
        <v>0</v>
      </c>
      <c r="D20" s="129"/>
    </row>
    <row r="21" spans="1:5" ht="15" thickBot="1" x14ac:dyDescent="0.4">
      <c r="A21" s="170"/>
      <c r="B21" s="102"/>
      <c r="C21" s="64">
        <f>'Concentración C23'!C24</f>
        <v>0</v>
      </c>
      <c r="D21" s="129"/>
      <c r="E21" s="119"/>
    </row>
    <row r="22" spans="1:5" x14ac:dyDescent="0.35">
      <c r="A22" s="170"/>
      <c r="B22" s="102"/>
      <c r="C22" s="64">
        <f>'Concentración C23'!C25</f>
        <v>0</v>
      </c>
      <c r="D22" s="129"/>
    </row>
    <row r="23" spans="1:5" x14ac:dyDescent="0.35">
      <c r="A23" s="170"/>
      <c r="B23" s="102"/>
      <c r="C23" s="64">
        <f>'Concentración C23'!C26</f>
        <v>0</v>
      </c>
      <c r="D23" s="129"/>
    </row>
    <row r="24" spans="1:5" x14ac:dyDescent="0.35">
      <c r="A24" s="170"/>
      <c r="B24" s="102"/>
      <c r="C24" s="64">
        <f>'Concentración C23'!C27</f>
        <v>0</v>
      </c>
      <c r="D24" s="129"/>
    </row>
    <row r="25" spans="1:5" x14ac:dyDescent="0.35">
      <c r="A25" s="170"/>
      <c r="B25" s="102"/>
      <c r="C25" s="64">
        <f>'Concentración C23'!C28</f>
        <v>0</v>
      </c>
      <c r="D25" s="129"/>
    </row>
    <row r="26" spans="1:5" x14ac:dyDescent="0.35">
      <c r="A26" s="170"/>
      <c r="B26" s="102"/>
      <c r="C26" s="64">
        <f>'Concentración C23'!C29</f>
        <v>0</v>
      </c>
      <c r="D26" s="129"/>
    </row>
    <row r="27" spans="1:5" x14ac:dyDescent="0.35">
      <c r="A27" s="170"/>
      <c r="B27" s="102"/>
      <c r="C27" s="64">
        <f>'Concentración C23'!C30</f>
        <v>0</v>
      </c>
      <c r="D27" s="129"/>
    </row>
    <row r="28" spans="1:5" x14ac:dyDescent="0.35">
      <c r="A28" s="170"/>
      <c r="B28" s="102"/>
      <c r="C28" s="64">
        <f>'Concentración C23'!C31</f>
        <v>0</v>
      </c>
      <c r="D28" s="129"/>
    </row>
    <row r="29" spans="1:5" x14ac:dyDescent="0.35">
      <c r="A29" s="170"/>
      <c r="B29" s="102"/>
      <c r="C29" s="64">
        <f>'Concentración C23'!C32</f>
        <v>0</v>
      </c>
      <c r="D29" s="129"/>
    </row>
    <row r="30" spans="1:5" x14ac:dyDescent="0.35">
      <c r="A30" s="170"/>
      <c r="B30" s="102"/>
      <c r="C30" s="64">
        <f>'Concentración C23'!C33</f>
        <v>0</v>
      </c>
      <c r="D30" s="129"/>
    </row>
    <row r="31" spans="1:5" ht="14.25" customHeight="1" x14ac:dyDescent="0.35">
      <c r="A31" s="170"/>
      <c r="B31" s="102"/>
      <c r="C31" s="64">
        <f>'Concentración C23'!C34</f>
        <v>0</v>
      </c>
      <c r="D31" s="129"/>
    </row>
    <row r="32" spans="1:5" ht="14.25" customHeight="1" x14ac:dyDescent="0.35">
      <c r="A32" s="170"/>
      <c r="B32" s="176"/>
      <c r="C32" s="94">
        <f>'Concentración C23'!C35</f>
        <v>0</v>
      </c>
      <c r="D32" s="130"/>
    </row>
    <row r="33" spans="1:8" x14ac:dyDescent="0.35">
      <c r="A33" s="170"/>
      <c r="B33" s="101"/>
      <c r="C33" s="64">
        <f>'Concentración C23'!C36</f>
        <v>0</v>
      </c>
      <c r="D33" s="129"/>
    </row>
    <row r="34" spans="1:8" ht="15" thickBot="1" x14ac:dyDescent="0.4">
      <c r="A34" s="170"/>
      <c r="B34" s="110"/>
      <c r="C34" s="95">
        <f>'Concentración C23'!C37</f>
        <v>0</v>
      </c>
      <c r="D34" s="131"/>
    </row>
    <row r="45" spans="1:8" x14ac:dyDescent="0.35">
      <c r="H45" s="63"/>
    </row>
  </sheetData>
  <phoneticPr fontId="19" type="noConversion"/>
  <pageMargins left="0.19685039370078741" right="0" top="0.19685039370078741" bottom="0" header="0" footer="0.31496062992125984"/>
  <pageSetup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I37"/>
  <sheetViews>
    <sheetView workbookViewId="0">
      <selection activeCell="B6" sqref="B6"/>
    </sheetView>
  </sheetViews>
  <sheetFormatPr defaultColWidth="11.453125" defaultRowHeight="14.5" x14ac:dyDescent="0.35"/>
  <cols>
    <col min="1" max="1" width="25" bestFit="1" customWidth="1"/>
    <col min="2" max="2" width="19.453125" customWidth="1"/>
    <col min="3" max="3" width="13.6328125" bestFit="1" customWidth="1"/>
    <col min="7" max="7" width="36.08984375" bestFit="1" customWidth="1"/>
  </cols>
  <sheetData>
    <row r="1" spans="1:9" ht="15" thickBot="1" x14ac:dyDescent="0.4"/>
    <row r="2" spans="1:9" ht="15" thickBot="1" x14ac:dyDescent="0.4">
      <c r="B2" s="37" t="s">
        <v>85</v>
      </c>
      <c r="C2" s="40">
        <f>H15</f>
        <v>1.3644869729985789E-2</v>
      </c>
      <c r="D2" s="38" t="s">
        <v>86</v>
      </c>
      <c r="E2" s="39"/>
      <c r="G2" s="106" t="s">
        <v>87</v>
      </c>
      <c r="H2" s="107" t="s">
        <v>88</v>
      </c>
    </row>
    <row r="3" spans="1:9" ht="15" thickBot="1" x14ac:dyDescent="0.4">
      <c r="G3" s="108">
        <v>0.69662999999999997</v>
      </c>
      <c r="H3" s="109" t="s">
        <v>89</v>
      </c>
    </row>
    <row r="4" spans="1:9" ht="15" thickBot="1" x14ac:dyDescent="0.4">
      <c r="A4" s="30" t="s">
        <v>82</v>
      </c>
      <c r="B4" s="42" t="s">
        <v>107</v>
      </c>
      <c r="C4" s="31" t="s">
        <v>108</v>
      </c>
    </row>
    <row r="5" spans="1:9" x14ac:dyDescent="0.35">
      <c r="A5" s="170" t="s">
        <v>150</v>
      </c>
      <c r="B5" s="102">
        <v>0.15</v>
      </c>
      <c r="C5" s="183">
        <f t="shared" ref="C5:C22" si="0">$C$2*B5</f>
        <v>2.0467304594978682E-3</v>
      </c>
      <c r="G5" s="30" t="s">
        <v>90</v>
      </c>
      <c r="H5" s="42"/>
      <c r="I5" s="31"/>
    </row>
    <row r="6" spans="1:9" x14ac:dyDescent="0.35">
      <c r="A6" s="170"/>
      <c r="B6" s="102"/>
      <c r="C6" s="183">
        <f t="shared" si="0"/>
        <v>0</v>
      </c>
      <c r="G6" s="32" t="s">
        <v>91</v>
      </c>
      <c r="H6" s="101">
        <v>9.60144E-2</v>
      </c>
      <c r="I6" s="33" t="s">
        <v>92</v>
      </c>
    </row>
    <row r="7" spans="1:9" x14ac:dyDescent="0.35">
      <c r="A7" s="170"/>
      <c r="B7" s="102"/>
      <c r="C7" s="183">
        <f t="shared" si="0"/>
        <v>0</v>
      </c>
      <c r="G7" s="32" t="s">
        <v>93</v>
      </c>
      <c r="H7" s="1">
        <v>10</v>
      </c>
      <c r="I7" s="33" t="s">
        <v>94</v>
      </c>
    </row>
    <row r="8" spans="1:9" x14ac:dyDescent="0.35">
      <c r="A8" s="170"/>
      <c r="B8" s="102"/>
      <c r="C8" s="183">
        <f t="shared" si="0"/>
        <v>0</v>
      </c>
      <c r="G8" s="32" t="s">
        <v>95</v>
      </c>
      <c r="H8" s="1">
        <f>H6*1000/H7</f>
        <v>9.6014400000000002</v>
      </c>
      <c r="I8" s="33" t="s">
        <v>95</v>
      </c>
    </row>
    <row r="9" spans="1:9" ht="15" thickBot="1" x14ac:dyDescent="0.4">
      <c r="A9" s="170"/>
      <c r="B9" s="102"/>
      <c r="C9" s="183">
        <f t="shared" si="0"/>
        <v>0</v>
      </c>
      <c r="G9" s="34" t="s">
        <v>96</v>
      </c>
      <c r="H9" s="96">
        <f>H8*0.99</f>
        <v>9.5054256000000006</v>
      </c>
      <c r="I9" s="97" t="s">
        <v>95</v>
      </c>
    </row>
    <row r="10" spans="1:9" ht="15" thickBot="1" x14ac:dyDescent="0.4">
      <c r="A10" s="170"/>
      <c r="B10" s="101"/>
      <c r="C10" s="183">
        <f t="shared" si="0"/>
        <v>0</v>
      </c>
    </row>
    <row r="11" spans="1:9" x14ac:dyDescent="0.35">
      <c r="A11" s="170"/>
      <c r="B11" s="102"/>
      <c r="C11" s="183">
        <f t="shared" si="0"/>
        <v>0</v>
      </c>
      <c r="G11" s="30" t="s">
        <v>97</v>
      </c>
      <c r="H11" s="42"/>
      <c r="I11" s="31"/>
    </row>
    <row r="12" spans="1:9" x14ac:dyDescent="0.35">
      <c r="A12" s="170"/>
      <c r="B12" s="102"/>
      <c r="C12" s="183">
        <f t="shared" si="0"/>
        <v>0</v>
      </c>
      <c r="G12" s="32" t="s">
        <v>91</v>
      </c>
      <c r="H12" s="1">
        <f>H6</f>
        <v>9.60144E-2</v>
      </c>
      <c r="I12" s="33" t="s">
        <v>92</v>
      </c>
    </row>
    <row r="13" spans="1:9" x14ac:dyDescent="0.35">
      <c r="A13" s="170"/>
      <c r="B13" s="102"/>
      <c r="C13" s="183">
        <f t="shared" si="0"/>
        <v>0</v>
      </c>
      <c r="G13" s="32" t="s">
        <v>93</v>
      </c>
      <c r="H13" s="1">
        <f>G3*H7</f>
        <v>6.9662999999999995</v>
      </c>
      <c r="I13" s="33" t="s">
        <v>92</v>
      </c>
    </row>
    <row r="14" spans="1:9" x14ac:dyDescent="0.35">
      <c r="A14" s="170"/>
      <c r="B14" s="101"/>
      <c r="C14" s="183">
        <f t="shared" si="0"/>
        <v>0</v>
      </c>
      <c r="G14" s="32" t="s">
        <v>98</v>
      </c>
      <c r="H14" s="41">
        <f>H12/H13</f>
        <v>1.3782696696955343E-2</v>
      </c>
      <c r="I14" s="33" t="s">
        <v>99</v>
      </c>
    </row>
    <row r="15" spans="1:9" ht="15" thickBot="1" x14ac:dyDescent="0.4">
      <c r="A15" s="170"/>
      <c r="B15" s="187"/>
      <c r="C15" s="183">
        <f t="shared" si="0"/>
        <v>0</v>
      </c>
      <c r="G15" s="98" t="s">
        <v>100</v>
      </c>
      <c r="H15" s="99">
        <f>H14*0.99</f>
        <v>1.3644869729985789E-2</v>
      </c>
      <c r="I15" s="100" t="s">
        <v>99</v>
      </c>
    </row>
    <row r="16" spans="1:9" x14ac:dyDescent="0.35">
      <c r="A16" s="170"/>
      <c r="B16" s="187"/>
      <c r="C16" s="183">
        <f t="shared" si="0"/>
        <v>0</v>
      </c>
    </row>
    <row r="17" spans="1:7" x14ac:dyDescent="0.35">
      <c r="A17" s="170"/>
      <c r="B17" s="102"/>
      <c r="C17" s="183">
        <f t="shared" si="0"/>
        <v>0</v>
      </c>
    </row>
    <row r="18" spans="1:7" x14ac:dyDescent="0.35">
      <c r="A18" s="170"/>
      <c r="B18" s="103"/>
      <c r="C18" s="183">
        <f t="shared" si="0"/>
        <v>0</v>
      </c>
    </row>
    <row r="19" spans="1:7" x14ac:dyDescent="0.35">
      <c r="A19" s="170"/>
      <c r="B19" s="103"/>
      <c r="C19" s="183">
        <f t="shared" si="0"/>
        <v>0</v>
      </c>
    </row>
    <row r="20" spans="1:7" x14ac:dyDescent="0.35">
      <c r="A20" s="170"/>
      <c r="B20" s="103"/>
      <c r="C20" s="183">
        <f t="shared" si="0"/>
        <v>0</v>
      </c>
    </row>
    <row r="21" spans="1:7" x14ac:dyDescent="0.35">
      <c r="A21" s="170"/>
      <c r="B21" s="103"/>
      <c r="C21" s="183">
        <f t="shared" si="0"/>
        <v>0</v>
      </c>
      <c r="G21" s="105" t="s">
        <v>84</v>
      </c>
    </row>
    <row r="22" spans="1:7" x14ac:dyDescent="0.35">
      <c r="A22" s="170"/>
      <c r="B22" s="103"/>
      <c r="C22" s="183">
        <f t="shared" si="0"/>
        <v>0</v>
      </c>
    </row>
    <row r="23" spans="1:7" x14ac:dyDescent="0.35">
      <c r="A23" s="170"/>
      <c r="B23" s="187"/>
      <c r="C23" s="183">
        <f t="shared" ref="C23:C37" si="1">$C$2*B23</f>
        <v>0</v>
      </c>
    </row>
    <row r="24" spans="1:7" x14ac:dyDescent="0.35">
      <c r="A24" s="170"/>
      <c r="B24" s="103"/>
      <c r="C24" s="183">
        <f t="shared" si="1"/>
        <v>0</v>
      </c>
    </row>
    <row r="25" spans="1:7" x14ac:dyDescent="0.35">
      <c r="A25" s="170"/>
      <c r="B25" s="103"/>
      <c r="C25" s="183">
        <f t="shared" si="1"/>
        <v>0</v>
      </c>
    </row>
    <row r="26" spans="1:7" x14ac:dyDescent="0.35">
      <c r="A26" s="170"/>
      <c r="B26" s="103"/>
      <c r="C26" s="183">
        <f t="shared" si="1"/>
        <v>0</v>
      </c>
    </row>
    <row r="27" spans="1:7" x14ac:dyDescent="0.35">
      <c r="A27" s="170"/>
      <c r="B27" s="103"/>
      <c r="C27" s="183">
        <f t="shared" si="1"/>
        <v>0</v>
      </c>
    </row>
    <row r="28" spans="1:7" x14ac:dyDescent="0.35">
      <c r="A28" s="170"/>
      <c r="B28" s="103"/>
      <c r="C28" s="183">
        <f t="shared" si="1"/>
        <v>0</v>
      </c>
    </row>
    <row r="29" spans="1:7" x14ac:dyDescent="0.35">
      <c r="A29" s="170"/>
      <c r="B29" s="103"/>
      <c r="C29" s="183">
        <f t="shared" si="1"/>
        <v>0</v>
      </c>
    </row>
    <row r="30" spans="1:7" x14ac:dyDescent="0.35">
      <c r="A30" s="170"/>
      <c r="B30" s="103"/>
      <c r="C30" s="183">
        <f t="shared" si="1"/>
        <v>0</v>
      </c>
    </row>
    <row r="31" spans="1:7" x14ac:dyDescent="0.35">
      <c r="A31" s="170"/>
      <c r="B31" s="103"/>
      <c r="C31" s="183">
        <f t="shared" si="1"/>
        <v>0</v>
      </c>
    </row>
    <row r="32" spans="1:7" x14ac:dyDescent="0.35">
      <c r="A32" s="170"/>
      <c r="B32" s="103"/>
      <c r="C32" s="183">
        <f t="shared" si="1"/>
        <v>0</v>
      </c>
    </row>
    <row r="33" spans="1:3" x14ac:dyDescent="0.35">
      <c r="A33" s="170"/>
      <c r="B33" s="103"/>
      <c r="C33" s="183">
        <f t="shared" si="1"/>
        <v>0</v>
      </c>
    </row>
    <row r="34" spans="1:3" x14ac:dyDescent="0.35">
      <c r="A34" s="170"/>
      <c r="B34" s="103"/>
      <c r="C34" s="183">
        <f t="shared" si="1"/>
        <v>0</v>
      </c>
    </row>
    <row r="35" spans="1:3" x14ac:dyDescent="0.35">
      <c r="A35" s="170"/>
      <c r="B35" s="103"/>
      <c r="C35" s="183">
        <f t="shared" si="1"/>
        <v>0</v>
      </c>
    </row>
    <row r="36" spans="1:3" x14ac:dyDescent="0.35">
      <c r="A36" s="170"/>
      <c r="B36" s="103"/>
      <c r="C36" s="183">
        <f t="shared" si="1"/>
        <v>0</v>
      </c>
    </row>
    <row r="37" spans="1:3" ht="15" thickBot="1" x14ac:dyDescent="0.4">
      <c r="A37" s="170"/>
      <c r="B37" s="104"/>
      <c r="C37" s="184">
        <f t="shared" si="1"/>
        <v>0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95F0-08B0-4D9B-A7CF-A03FE3EAF6E1}">
  <sheetPr>
    <tabColor theme="4" tint="-0.249977111117893"/>
  </sheetPr>
  <dimension ref="A3:CW10"/>
  <sheetViews>
    <sheetView topLeftCell="CG1" workbookViewId="0">
      <selection activeCell="CM33" sqref="CM33"/>
    </sheetView>
  </sheetViews>
  <sheetFormatPr defaultColWidth="10.90625" defaultRowHeight="14.5" x14ac:dyDescent="0.35"/>
  <sheetData>
    <row r="3" spans="1:101" ht="15" thickBot="1" x14ac:dyDescent="0.4">
      <c r="BZ3" t="s">
        <v>121</v>
      </c>
      <c r="CR3" t="s">
        <v>122</v>
      </c>
    </row>
    <row r="4" spans="1:101" ht="15" thickBot="1" x14ac:dyDescent="0.4">
      <c r="A4" s="123" t="s">
        <v>101</v>
      </c>
      <c r="B4" s="142" t="s">
        <v>15</v>
      </c>
      <c r="D4" s="142" t="s">
        <v>17</v>
      </c>
      <c r="F4" s="142" t="s">
        <v>19</v>
      </c>
      <c r="H4" s="142" t="s">
        <v>21</v>
      </c>
      <c r="J4" s="142" t="s">
        <v>23</v>
      </c>
      <c r="L4" s="141" t="s">
        <v>25</v>
      </c>
      <c r="N4" s="143" t="s">
        <v>144</v>
      </c>
      <c r="P4" s="144" t="s">
        <v>29</v>
      </c>
      <c r="R4" s="142" t="s">
        <v>32</v>
      </c>
      <c r="T4" s="142" t="s">
        <v>34</v>
      </c>
      <c r="V4" s="142" t="s">
        <v>36</v>
      </c>
      <c r="X4" s="142" t="s">
        <v>37</v>
      </c>
      <c r="Z4" s="145" t="s">
        <v>38</v>
      </c>
      <c r="AB4" s="146" t="s">
        <v>111</v>
      </c>
      <c r="AD4" s="142" t="s">
        <v>40</v>
      </c>
      <c r="AF4" s="147" t="s">
        <v>112</v>
      </c>
      <c r="AH4" s="142" t="s">
        <v>41</v>
      </c>
      <c r="AJ4" s="147" t="s">
        <v>118</v>
      </c>
      <c r="AL4" s="142" t="s">
        <v>42</v>
      </c>
      <c r="AN4" s="148" t="s">
        <v>45</v>
      </c>
      <c r="AP4" s="142" t="s">
        <v>145</v>
      </c>
      <c r="AR4" s="147" t="s">
        <v>48</v>
      </c>
      <c r="AT4" s="149" t="s">
        <v>49</v>
      </c>
      <c r="AV4" s="142" t="s">
        <v>146</v>
      </c>
      <c r="AX4" s="147" t="s">
        <v>113</v>
      </c>
      <c r="AZ4" s="150" t="s">
        <v>51</v>
      </c>
      <c r="BB4" s="147" t="s">
        <v>52</v>
      </c>
      <c r="BD4" s="151" t="s">
        <v>53</v>
      </c>
      <c r="BF4" s="147" t="s">
        <v>147</v>
      </c>
      <c r="BH4" s="152" t="s">
        <v>55</v>
      </c>
      <c r="BJ4" s="153" t="s">
        <v>148</v>
      </c>
      <c r="BL4" s="154" t="s">
        <v>57</v>
      </c>
      <c r="BN4" s="155" t="s">
        <v>58</v>
      </c>
      <c r="BP4" s="156" t="s">
        <v>59</v>
      </c>
      <c r="BR4" s="157" t="s">
        <v>60</v>
      </c>
      <c r="BT4" s="158" t="s">
        <v>61</v>
      </c>
      <c r="BV4" s="159" t="s">
        <v>62</v>
      </c>
      <c r="BX4" s="147" t="s">
        <v>114</v>
      </c>
      <c r="BZ4" s="160" t="s">
        <v>63</v>
      </c>
      <c r="CB4" s="161" t="s">
        <v>64</v>
      </c>
      <c r="CD4" s="162" t="s">
        <v>65</v>
      </c>
      <c r="CF4" s="163" t="s">
        <v>66</v>
      </c>
      <c r="CH4" s="164" t="s">
        <v>67</v>
      </c>
      <c r="CJ4" s="147" t="s">
        <v>115</v>
      </c>
      <c r="CL4" s="165" t="s">
        <v>116</v>
      </c>
      <c r="CN4" s="153" t="s">
        <v>117</v>
      </c>
      <c r="CP4" s="166" t="s">
        <v>68</v>
      </c>
      <c r="CR4" s="167" t="s">
        <v>69</v>
      </c>
      <c r="CT4" s="168" t="s">
        <v>149</v>
      </c>
      <c r="CV4" s="169" t="s">
        <v>71</v>
      </c>
    </row>
    <row r="5" spans="1:101" x14ac:dyDescent="0.35">
      <c r="B5" s="135" t="s">
        <v>8</v>
      </c>
      <c r="C5" s="136" t="s">
        <v>3</v>
      </c>
      <c r="D5" s="137" t="s">
        <v>8</v>
      </c>
      <c r="E5" s="136" t="s">
        <v>3</v>
      </c>
      <c r="F5" s="137" t="s">
        <v>8</v>
      </c>
      <c r="G5" s="136" t="s">
        <v>3</v>
      </c>
      <c r="H5" s="137" t="s">
        <v>8</v>
      </c>
      <c r="I5" s="136" t="s">
        <v>3</v>
      </c>
      <c r="J5" s="137" t="s">
        <v>8</v>
      </c>
      <c r="K5" s="136" t="s">
        <v>3</v>
      </c>
      <c r="L5" s="137" t="s">
        <v>8</v>
      </c>
      <c r="M5" s="136" t="s">
        <v>3</v>
      </c>
      <c r="N5" s="137" t="s">
        <v>8</v>
      </c>
      <c r="O5" s="136" t="s">
        <v>3</v>
      </c>
      <c r="P5" s="137" t="s">
        <v>8</v>
      </c>
      <c r="Q5" s="136" t="s">
        <v>3</v>
      </c>
      <c r="R5" s="137" t="s">
        <v>8</v>
      </c>
      <c r="S5" s="136" t="s">
        <v>3</v>
      </c>
      <c r="T5" s="137" t="s">
        <v>8</v>
      </c>
      <c r="U5" s="136" t="s">
        <v>3</v>
      </c>
      <c r="V5" s="137" t="s">
        <v>8</v>
      </c>
      <c r="W5" s="136" t="s">
        <v>3</v>
      </c>
      <c r="X5" s="137" t="s">
        <v>8</v>
      </c>
      <c r="Y5" s="136" t="s">
        <v>3</v>
      </c>
      <c r="Z5" s="137" t="s">
        <v>8</v>
      </c>
      <c r="AA5" s="136" t="s">
        <v>3</v>
      </c>
      <c r="AB5" s="137" t="s">
        <v>8</v>
      </c>
      <c r="AC5" s="136" t="s">
        <v>3</v>
      </c>
      <c r="AD5" s="137" t="s">
        <v>8</v>
      </c>
      <c r="AE5" s="136" t="s">
        <v>3</v>
      </c>
      <c r="AF5" s="137" t="s">
        <v>8</v>
      </c>
      <c r="AG5" s="136" t="s">
        <v>3</v>
      </c>
      <c r="AH5" s="137" t="s">
        <v>8</v>
      </c>
      <c r="AI5" s="136" t="s">
        <v>3</v>
      </c>
      <c r="AJ5" s="137" t="s">
        <v>8</v>
      </c>
      <c r="AK5" s="136" t="s">
        <v>3</v>
      </c>
      <c r="AL5" s="137" t="s">
        <v>8</v>
      </c>
      <c r="AM5" s="136" t="s">
        <v>3</v>
      </c>
      <c r="AN5" s="137" t="s">
        <v>8</v>
      </c>
      <c r="AO5" s="136" t="s">
        <v>3</v>
      </c>
      <c r="AP5" s="137" t="s">
        <v>8</v>
      </c>
      <c r="AQ5" s="136" t="s">
        <v>3</v>
      </c>
      <c r="AR5" s="137" t="s">
        <v>8</v>
      </c>
      <c r="AS5" s="136" t="s">
        <v>3</v>
      </c>
      <c r="AT5" s="137" t="s">
        <v>8</v>
      </c>
      <c r="AU5" s="136" t="s">
        <v>3</v>
      </c>
      <c r="AV5" s="137" t="s">
        <v>8</v>
      </c>
      <c r="AW5" s="136" t="s">
        <v>3</v>
      </c>
      <c r="AX5" s="137" t="s">
        <v>8</v>
      </c>
      <c r="AY5" s="136" t="s">
        <v>3</v>
      </c>
      <c r="AZ5" s="137" t="s">
        <v>8</v>
      </c>
      <c r="BA5" s="136" t="s">
        <v>3</v>
      </c>
      <c r="BB5" s="137" t="s">
        <v>8</v>
      </c>
      <c r="BC5" s="136" t="s">
        <v>3</v>
      </c>
      <c r="BD5" s="137" t="s">
        <v>8</v>
      </c>
      <c r="BE5" s="136" t="s">
        <v>3</v>
      </c>
      <c r="BF5" s="137" t="s">
        <v>8</v>
      </c>
      <c r="BG5" s="136" t="s">
        <v>3</v>
      </c>
      <c r="BH5" s="137" t="s">
        <v>8</v>
      </c>
      <c r="BI5" s="136" t="s">
        <v>3</v>
      </c>
      <c r="BJ5" s="137" t="s">
        <v>8</v>
      </c>
      <c r="BK5" s="136" t="s">
        <v>3</v>
      </c>
      <c r="BL5" s="137" t="s">
        <v>8</v>
      </c>
      <c r="BM5" s="136" t="s">
        <v>3</v>
      </c>
      <c r="BN5" s="137" t="s">
        <v>8</v>
      </c>
      <c r="BO5" s="136" t="s">
        <v>3</v>
      </c>
      <c r="BP5" s="137" t="s">
        <v>8</v>
      </c>
      <c r="BQ5" s="136" t="s">
        <v>3</v>
      </c>
      <c r="BR5" s="137" t="s">
        <v>8</v>
      </c>
      <c r="BS5" s="136" t="s">
        <v>3</v>
      </c>
      <c r="BT5" s="137" t="s">
        <v>8</v>
      </c>
      <c r="BU5" s="136" t="s">
        <v>3</v>
      </c>
      <c r="BV5" s="137" t="s">
        <v>8</v>
      </c>
      <c r="BW5" s="136" t="s">
        <v>3</v>
      </c>
      <c r="BX5" s="137" t="s">
        <v>8</v>
      </c>
      <c r="BY5" s="136" t="s">
        <v>3</v>
      </c>
      <c r="BZ5" s="137" t="s">
        <v>8</v>
      </c>
      <c r="CA5" s="136" t="s">
        <v>3</v>
      </c>
      <c r="CB5" s="137" t="s">
        <v>8</v>
      </c>
      <c r="CC5" s="136" t="s">
        <v>3</v>
      </c>
      <c r="CD5" s="137" t="s">
        <v>8</v>
      </c>
      <c r="CE5" s="136" t="s">
        <v>3</v>
      </c>
      <c r="CF5" s="137" t="s">
        <v>8</v>
      </c>
      <c r="CG5" s="136" t="s">
        <v>3</v>
      </c>
      <c r="CH5" s="137" t="s">
        <v>8</v>
      </c>
      <c r="CI5" s="136" t="s">
        <v>3</v>
      </c>
      <c r="CJ5" s="137" t="s">
        <v>8</v>
      </c>
      <c r="CK5" s="136" t="s">
        <v>3</v>
      </c>
      <c r="CL5" s="137" t="s">
        <v>8</v>
      </c>
      <c r="CM5" s="136" t="s">
        <v>3</v>
      </c>
      <c r="CN5" s="137" t="s">
        <v>8</v>
      </c>
      <c r="CO5" s="136" t="s">
        <v>3</v>
      </c>
      <c r="CP5" s="137" t="s">
        <v>8</v>
      </c>
      <c r="CQ5" s="136" t="s">
        <v>3</v>
      </c>
      <c r="CR5" s="137" t="s">
        <v>8</v>
      </c>
      <c r="CS5" s="136" t="s">
        <v>3</v>
      </c>
      <c r="CT5" s="137" t="s">
        <v>8</v>
      </c>
      <c r="CU5" s="136" t="s">
        <v>3</v>
      </c>
      <c r="CV5" s="137" t="s">
        <v>105</v>
      </c>
      <c r="CW5" s="138" t="s">
        <v>3</v>
      </c>
    </row>
    <row r="6" spans="1:101" ht="15" thickBot="1" x14ac:dyDescent="0.4">
      <c r="B6" s="181">
        <f>VLOOKUP(B4,Tipo!$B$2:$I$50,8,FALSE)</f>
        <v>0</v>
      </c>
      <c r="C6" s="180">
        <f>VLOOKUP(B4,Tipo!$B$2:$I$50,3,FALSE)</f>
        <v>0</v>
      </c>
      <c r="D6" s="180">
        <f>VLOOKUP(D4,Tipo!$B$2:$I$50,8,FALSE)</f>
        <v>0</v>
      </c>
      <c r="E6" s="180">
        <f>VLOOKUP(D4,Tipo!$B$2:$I$50,3,FALSE)</f>
        <v>0</v>
      </c>
      <c r="F6" s="139">
        <f>VLOOKUP(F4,Tipo!$B$2:$I$50,8,FALSE)</f>
        <v>0</v>
      </c>
      <c r="G6" s="139">
        <f>VLOOKUP(F4,Tipo!$B$2:$I$50,3,FALSE)</f>
        <v>0</v>
      </c>
      <c r="H6" s="139">
        <f>VLOOKUP(H4,Tipo!$B$2:$I$50,8,FALSE)</f>
        <v>0</v>
      </c>
      <c r="I6" s="139">
        <f>VLOOKUP(H4,Tipo!$B$2:$I$50,3,FALSE)</f>
        <v>0</v>
      </c>
      <c r="J6" s="139">
        <f>VLOOKUP(J4,Tipo!$B$2:$I$50,8,FALSE)</f>
        <v>0</v>
      </c>
      <c r="K6" s="139">
        <f>VLOOKUP(J4,Tipo!$B$2:$I$50,3,FALSE)</f>
        <v>0</v>
      </c>
      <c r="L6" s="139">
        <f>VLOOKUP(L4,Tipo!$B$2:$I$50,8,FALSE)</f>
        <v>0</v>
      </c>
      <c r="M6" s="139">
        <f>VLOOKUP(L4,Tipo!$B$2:$I$50,3,FALSE)</f>
        <v>0</v>
      </c>
      <c r="N6" s="139">
        <f>VLOOKUP(N4,Tipo!$B$2:$I$50,8,FALSE)</f>
        <v>0</v>
      </c>
      <c r="O6" s="139">
        <f>VLOOKUP(N4,Tipo!$B$2:$I$50,3,FALSE)</f>
        <v>0</v>
      </c>
      <c r="P6" s="139">
        <f>VLOOKUP(P4,Tipo!$B$2:$I$50,8,FALSE)</f>
        <v>0.15552975779777331</v>
      </c>
      <c r="Q6" s="139">
        <f>VLOOKUP(P4,Tipo!$B$2:$I$50,3,FALSE)</f>
        <v>20.31431770324707</v>
      </c>
      <c r="R6" s="139">
        <f>VLOOKUP(R4,Tipo!$B$2:$I$50,8,FALSE)</f>
        <v>0</v>
      </c>
      <c r="S6" s="139">
        <f>VLOOKUP(R4,Tipo!$B$2:$I$50,3,FALSE)</f>
        <v>0</v>
      </c>
      <c r="T6" s="139">
        <f>VLOOKUP(T4,Tipo!$B$2:$I$50,8,FALSE)</f>
        <v>0</v>
      </c>
      <c r="U6" s="139">
        <f>VLOOKUP(T4,Tipo!$B$2:$I$50,3,FALSE)</f>
        <v>0</v>
      </c>
      <c r="V6" s="139">
        <f>VLOOKUP(V4,Tipo!$B$2:$I$50,8,FALSE)</f>
        <v>0</v>
      </c>
      <c r="W6" s="139">
        <f>VLOOKUP(V4,Tipo!$B$2:$I$50,3,FALSE)</f>
        <v>0</v>
      </c>
      <c r="X6" s="139">
        <f>VLOOKUP(X4,Tipo!$B$2:$I$50,8,FALSE)</f>
        <v>4.0492652098534165</v>
      </c>
      <c r="Y6" s="139">
        <f>VLOOKUP(X4,Tipo!$B$2:$I$50,3,FALSE)</f>
        <v>528.8895263671875</v>
      </c>
      <c r="Z6" s="139">
        <f>VLOOKUP(Z4,Tipo!$B$2:$I$50,8,FALSE)</f>
        <v>0.22789458071546581</v>
      </c>
      <c r="AA6" s="139">
        <f>VLOOKUP(Z4,Tipo!$B$2:$I$50,3,FALSE)</f>
        <v>29.766155242919922</v>
      </c>
      <c r="AB6" s="139">
        <f>VLOOKUP(AB4,Tipo!$B$2:$I$50,8,FALSE)</f>
        <v>0</v>
      </c>
      <c r="AC6" s="139">
        <f>VLOOKUP(AB4,Tipo!$B$2:$I$50,3,FALSE)</f>
        <v>0</v>
      </c>
      <c r="AD6" s="139">
        <f>VLOOKUP(AD4,Tipo!$B$2:$I$50,8,FALSE)</f>
        <v>0.11208537455452433</v>
      </c>
      <c r="AE6" s="139">
        <f>VLOOKUP(AD4,Tipo!$B$2:$I$50,3,FALSE)</f>
        <v>14.639885902404785</v>
      </c>
      <c r="AF6" s="139">
        <f>VLOOKUP(AF4,Tipo!$B$2:$I$50,8,FALSE)</f>
        <v>0</v>
      </c>
      <c r="AG6" s="139">
        <f>VLOOKUP(AF4,Tipo!$B$2:$I$50,3,FALSE)</f>
        <v>0</v>
      </c>
      <c r="AH6" s="139">
        <f>VLOOKUP(AH4,Tipo!$B$2:$I$50,8,FALSE)</f>
        <v>8.7103547040868215E-2</v>
      </c>
      <c r="AI6" s="139">
        <f>VLOOKUP(AH4,Tipo!$B$2:$I$50,3,FALSE)</f>
        <v>11.376916885375977</v>
      </c>
      <c r="AJ6" s="139">
        <f>VLOOKUP(AJ4,Tipo!$B$2:$I$50,8,FALSE)</f>
        <v>0</v>
      </c>
      <c r="AK6" s="139">
        <f>VLOOKUP(AJ4,Tipo!$B$2:$I$50,3,FALSE)</f>
        <v>0</v>
      </c>
      <c r="AL6" s="139">
        <f>VLOOKUP(AL4,Tipo!$B$2:$I$50,8,FALSE)</f>
        <v>1.7515031191089183</v>
      </c>
      <c r="AM6" s="139">
        <f>VLOOKUP(AL4,Tipo!$B$2:$I$50,3,FALSE)</f>
        <v>228.77030944824219</v>
      </c>
      <c r="AN6" s="139">
        <f>VLOOKUP(AN4,Tipo!$B$2:$I$50,8,FALSE)</f>
        <v>2.9321308566102298</v>
      </c>
      <c r="AO6" s="139">
        <f>VLOOKUP(AN4,Tipo!$B$2:$I$50,3,FALSE)</f>
        <v>382.97647094726563</v>
      </c>
      <c r="AP6" s="139">
        <f>VLOOKUP(AP4,Tipo!$B$2:$I$50,8,FALSE)</f>
        <v>54.317201022621141</v>
      </c>
      <c r="AQ6" s="139">
        <f>VLOOKUP(AP4,Tipo!$B$2:$I$50,3,FALSE)</f>
        <v>7094.57080078125</v>
      </c>
      <c r="AR6" s="139">
        <f>VLOOKUP(AR4,Tipo!$B$2:$I$50,8,FALSE)</f>
        <v>0</v>
      </c>
      <c r="AS6" s="139">
        <f>VLOOKUP(AR4,Tipo!$B$2:$I$50,3,FALSE)</f>
        <v>0</v>
      </c>
      <c r="AT6" s="139">
        <f>VLOOKUP(AT4,Tipo!$B$2:$I$50,8,FALSE)</f>
        <v>17.134075558492388</v>
      </c>
      <c r="AU6" s="139">
        <f>VLOOKUP(AT4,Tipo!$B$2:$I$50,3,FALSE)</f>
        <v>2237.945068359375</v>
      </c>
      <c r="AV6" s="139">
        <f>VLOOKUP(AV4,Tipo!$B$2:$I$50,8,FALSE)</f>
        <v>0</v>
      </c>
      <c r="AW6" s="139">
        <f>VLOOKUP(AV4,Tipo!$B$2:$I$50,3,FALSE)</f>
        <v>0</v>
      </c>
      <c r="AX6" s="139">
        <f>VLOOKUP(AX4,Tipo!$B$2:$I$50,8,FALSE)</f>
        <v>0</v>
      </c>
      <c r="AY6" s="139">
        <f>VLOOKUP(AX4,Tipo!$B$2:$I$50,3,FALSE)</f>
        <v>0</v>
      </c>
      <c r="AZ6" s="139">
        <f>VLOOKUP(AZ4,Tipo!$B$2:$I$50,8,FALSE)</f>
        <v>0</v>
      </c>
      <c r="BA6" s="139">
        <f>VLOOKUP(AZ4,Tipo!$B$2:$I$50,3,FALSE)</f>
        <v>0</v>
      </c>
      <c r="BB6" s="139">
        <f>VLOOKUP(BB4,Tipo!$B$2:$I$50,8,FALSE)</f>
        <v>5.6755706731180834E-2</v>
      </c>
      <c r="BC6" s="139">
        <f>VLOOKUP(BB4,Tipo!$B$2:$I$50,3,FALSE)</f>
        <v>7.4130730628967285</v>
      </c>
      <c r="BD6" s="139">
        <f>VLOOKUP(BD4,Tipo!$B$2:$I$50,8,FALSE)</f>
        <v>8.8878490154293726</v>
      </c>
      <c r="BE6" s="139">
        <f>VLOOKUP(BD4,Tipo!$B$2:$I$50,3,FALSE)</f>
        <v>1160.8748779296875</v>
      </c>
      <c r="BF6" s="139">
        <f>VLOOKUP(BF4,Tipo!$B$2:$I$50,8,FALSE)</f>
        <v>0</v>
      </c>
      <c r="BG6" s="139">
        <f>VLOOKUP(BF4,Tipo!$B$2:$I$50,3,FALSE)</f>
        <v>0</v>
      </c>
      <c r="BH6" s="139">
        <f>VLOOKUP(BH4,Tipo!$B$2:$I$50,8,FALSE)</f>
        <v>0.50590546135454739</v>
      </c>
      <c r="BI6" s="139">
        <f>VLOOKUP(BH4,Tipo!$B$2:$I$50,3,FALSE)</f>
        <v>66.07818603515625</v>
      </c>
      <c r="BJ6" s="139">
        <f>VLOOKUP(BJ4,Tipo!$B$2:$I$50,8,FALSE)</f>
        <v>1.1471495414361061</v>
      </c>
      <c r="BK6" s="139">
        <f>VLOOKUP(BJ4,Tipo!$B$2:$I$50,3,FALSE)</f>
        <v>149.83345031738281</v>
      </c>
      <c r="BL6" s="139">
        <f>VLOOKUP(BL4,Tipo!$B$2:$I$50,8,FALSE)</f>
        <v>0</v>
      </c>
      <c r="BM6" s="139">
        <f>VLOOKUP(BL4,Tipo!$B$2:$I$50,3,FALSE)</f>
        <v>0</v>
      </c>
      <c r="BN6" s="139">
        <f>VLOOKUP(BN4,Tipo!$B$2:$I$50,8,FALSE)</f>
        <v>0</v>
      </c>
      <c r="BO6" s="139">
        <f>VLOOKUP(BN4,Tipo!$B$2:$I$50,3,FALSE)</f>
        <v>0</v>
      </c>
      <c r="BP6" s="139">
        <f>VLOOKUP(BP4,Tipo!$B$2:$I$50,8,FALSE)</f>
        <v>0</v>
      </c>
      <c r="BQ6" s="139">
        <f>VLOOKUP(BP4,Tipo!$B$2:$I$50,3,FALSE)</f>
        <v>0</v>
      </c>
      <c r="BR6" s="139">
        <f>VLOOKUP(BR4,Tipo!$B$2:$I$50,8,FALSE)</f>
        <v>0</v>
      </c>
      <c r="BS6" s="139">
        <f>VLOOKUP(BR4,Tipo!$B$2:$I$50,3,FALSE)</f>
        <v>0</v>
      </c>
      <c r="BT6" s="139">
        <f>VLOOKUP(BT4,Tipo!$B$2:$I$50,8,FALSE)</f>
        <v>0</v>
      </c>
      <c r="BU6" s="139">
        <f>VLOOKUP(BT4,Tipo!$B$2:$I$50,3,FALSE)</f>
        <v>0</v>
      </c>
      <c r="BV6" s="139">
        <f>VLOOKUP(BV4,Tipo!$B$2:$I$50,8,FALSE)</f>
        <v>0</v>
      </c>
      <c r="BW6" s="139">
        <f>VLOOKUP(BV4,Tipo!$B$2:$I$50,3,FALSE)</f>
        <v>0</v>
      </c>
      <c r="BX6" s="139">
        <f>VLOOKUP(BX4,Tipo!$B$2:$I$50,8,FALSE)</f>
        <v>0</v>
      </c>
      <c r="BY6" s="139">
        <f>VLOOKUP(BX4,Tipo!$B$2:$I$50,3,FALSE)</f>
        <v>0</v>
      </c>
      <c r="BZ6" s="139">
        <f>VLOOKUP(BZ4,Tipo!$B$2:$I$50,8,FALSE)</f>
        <v>3.9106329777625972</v>
      </c>
      <c r="CA6" s="139">
        <f>VLOOKUP(BZ4,Tipo!$B$2:$I$50,3,FALSE)</f>
        <v>510.78225708007813</v>
      </c>
      <c r="CB6" s="139">
        <f>VLOOKUP(CB4,Tipo!$B$2:$I$50,8,FALSE)</f>
        <v>0.28490348477715299</v>
      </c>
      <c r="CC6" s="139">
        <f>VLOOKUP(CB4,Tipo!$B$2:$I$50,3,FALSE)</f>
        <v>37.212299346923828</v>
      </c>
      <c r="CD6" s="139">
        <f>VLOOKUP(CD4,Tipo!$B$2:$I$50,8,FALSE)</f>
        <v>0</v>
      </c>
      <c r="CE6" s="139">
        <f>VLOOKUP(CD4,Tipo!$B$2:$I$50,3,FALSE)</f>
        <v>0</v>
      </c>
      <c r="CF6" s="139">
        <f>VLOOKUP(CF4,Tipo!$B$2:$I$50,8,FALSE)</f>
        <v>0</v>
      </c>
      <c r="CG6" s="139">
        <f>VLOOKUP(CF4,Tipo!$B$2:$I$50,3,FALSE)</f>
        <v>0</v>
      </c>
      <c r="CH6" s="139">
        <f>VLOOKUP(CH4,Tipo!$B$2:$I$50,8,FALSE)</f>
        <v>0</v>
      </c>
      <c r="CI6" s="139">
        <f>VLOOKUP(CH4,Tipo!$B$2:$I$50,3,FALSE)</f>
        <v>828.70086669921875</v>
      </c>
      <c r="CJ6" s="139">
        <f>VLOOKUP(CJ4,Tipo!$B$2:$I$50,8,FALSE)</f>
        <v>0</v>
      </c>
      <c r="CK6" s="139">
        <f>VLOOKUP(CJ4,Tipo!$B$2:$I$50,3,FALSE)</f>
        <v>0</v>
      </c>
      <c r="CL6" s="139">
        <f>VLOOKUP(CL4,Tipo!$B$2:$I$50,8,FALSE)</f>
        <v>0</v>
      </c>
      <c r="CM6" s="139">
        <f>VLOOKUP(CL4,Tipo!$B$2:$I$50,3,FALSE)</f>
        <v>0</v>
      </c>
      <c r="CN6" s="139">
        <f>VLOOKUP(CN4,Tipo!$B$2:$I$50,8,FALSE)</f>
        <v>0.13644880989141156</v>
      </c>
      <c r="CO6" s="139">
        <f>VLOOKUP(CN4,Tipo!$B$2:$I$50,3,FALSE)</f>
        <v>17.822084426879883</v>
      </c>
      <c r="CP6" s="139">
        <f>VLOOKUP(CP4,Tipo!$B$2:$I$50,8,FALSE)</f>
        <v>0</v>
      </c>
      <c r="CQ6" s="139">
        <f>VLOOKUP(CP4,Tipo!$B$2:$I$50,3,FALSE)</f>
        <v>0</v>
      </c>
      <c r="CR6" s="139">
        <f>VLOOKUP(CR4,Tipo!$B$2:$I$50,8,FALSE)</f>
        <v>4.1253969431533886</v>
      </c>
      <c r="CS6" s="139">
        <f>VLOOKUP(CR4,Tipo!$B$2:$I$50,3,FALSE)</f>
        <v>538.8333740234375</v>
      </c>
      <c r="CT6" s="139">
        <f>VLOOKUP(CT4,Tipo!$B$2:$I$50,8,FALSE)</f>
        <v>0.1617600148047208</v>
      </c>
      <c r="CU6" s="139">
        <f>VLOOKUP(CT4,Tipo!$B$2:$I$50,3,FALSE)</f>
        <v>21.128074645996094</v>
      </c>
      <c r="CV6" s="139">
        <f>VLOOKUP(CV4,Tipo!$B$2:$I$51,8,FALSE)</f>
        <v>1.6409017864798026E-2</v>
      </c>
      <c r="CW6" s="140">
        <f>VLOOKUP(CV4,Tipo!$B$2:$I$51,3,FALSE)</f>
        <v>2.143242597581775</v>
      </c>
    </row>
    <row r="8" spans="1:101" x14ac:dyDescent="0.35">
      <c r="B8" s="29"/>
      <c r="CV8" s="29"/>
      <c r="CW8" s="29"/>
    </row>
    <row r="9" spans="1:101" x14ac:dyDescent="0.35">
      <c r="CV9" s="29"/>
      <c r="CW9" s="29"/>
    </row>
    <row r="10" spans="1:101" x14ac:dyDescent="0.35"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6D42-B26B-48C2-AC4C-1C5F07D6BCDE}">
  <sheetPr>
    <tabColor theme="4" tint="-0.249977111117893"/>
  </sheetPr>
  <dimension ref="A3:AY23"/>
  <sheetViews>
    <sheetView workbookViewId="0">
      <selection activeCell="F36" sqref="F36"/>
    </sheetView>
  </sheetViews>
  <sheetFormatPr defaultColWidth="10.90625" defaultRowHeight="14.5" x14ac:dyDescent="0.35"/>
  <sheetData>
    <row r="3" spans="1:51" ht="15" thickBot="1" x14ac:dyDescent="0.4">
      <c r="A3" s="123" t="s">
        <v>120</v>
      </c>
    </row>
    <row r="4" spans="1:51" ht="15" thickBot="1" x14ac:dyDescent="0.4">
      <c r="B4" s="172" t="s">
        <v>15</v>
      </c>
      <c r="C4" s="173" t="s">
        <v>17</v>
      </c>
      <c r="D4" s="173" t="s">
        <v>19</v>
      </c>
      <c r="E4" s="173" t="s">
        <v>21</v>
      </c>
      <c r="F4" s="171" t="s">
        <v>23</v>
      </c>
      <c r="G4" s="171" t="s">
        <v>25</v>
      </c>
      <c r="H4" s="171" t="s">
        <v>27</v>
      </c>
      <c r="I4" s="171" t="s">
        <v>29</v>
      </c>
      <c r="J4" s="171" t="s">
        <v>32</v>
      </c>
      <c r="K4" s="171" t="s">
        <v>34</v>
      </c>
      <c r="L4" s="171" t="s">
        <v>36</v>
      </c>
      <c r="M4" s="171" t="s">
        <v>37</v>
      </c>
      <c r="N4" s="171" t="s">
        <v>38</v>
      </c>
      <c r="O4" s="171" t="s">
        <v>111</v>
      </c>
      <c r="P4" s="171" t="s">
        <v>40</v>
      </c>
      <c r="Q4" s="171" t="s">
        <v>112</v>
      </c>
      <c r="R4" s="171" t="s">
        <v>41</v>
      </c>
      <c r="S4" s="171" t="s">
        <v>118</v>
      </c>
      <c r="T4" s="171" t="s">
        <v>42</v>
      </c>
      <c r="U4" s="171" t="s">
        <v>45</v>
      </c>
      <c r="V4" s="171" t="s">
        <v>47</v>
      </c>
      <c r="W4" s="171" t="s">
        <v>48</v>
      </c>
      <c r="X4" s="171" t="s">
        <v>49</v>
      </c>
      <c r="Y4" s="171" t="s">
        <v>50</v>
      </c>
      <c r="Z4" s="171" t="s">
        <v>113</v>
      </c>
      <c r="AA4" s="171" t="s">
        <v>51</v>
      </c>
      <c r="AB4" s="171" t="s">
        <v>52</v>
      </c>
      <c r="AC4" s="171" t="s">
        <v>53</v>
      </c>
      <c r="AD4" s="171" t="s">
        <v>54</v>
      </c>
      <c r="AE4" s="171" t="s">
        <v>55</v>
      </c>
      <c r="AF4" s="171" t="s">
        <v>56</v>
      </c>
      <c r="AG4" s="171" t="s">
        <v>57</v>
      </c>
      <c r="AH4" s="171" t="s">
        <v>58</v>
      </c>
      <c r="AI4" s="171" t="s">
        <v>59</v>
      </c>
      <c r="AJ4" s="171" t="s">
        <v>60</v>
      </c>
      <c r="AK4" s="171" t="s">
        <v>61</v>
      </c>
      <c r="AL4" s="171" t="s">
        <v>62</v>
      </c>
      <c r="AM4" s="171" t="s">
        <v>114</v>
      </c>
      <c r="AN4" s="171" t="s">
        <v>63</v>
      </c>
      <c r="AO4" s="171" t="s">
        <v>64</v>
      </c>
      <c r="AP4" s="171" t="s">
        <v>65</v>
      </c>
      <c r="AQ4" s="171" t="s">
        <v>66</v>
      </c>
      <c r="AR4" s="171" t="s">
        <v>67</v>
      </c>
      <c r="AS4" s="171" t="s">
        <v>115</v>
      </c>
      <c r="AT4" s="171" t="s">
        <v>116</v>
      </c>
      <c r="AU4" s="171" t="s">
        <v>117</v>
      </c>
      <c r="AV4" s="171" t="s">
        <v>68</v>
      </c>
      <c r="AW4" s="171" t="s">
        <v>69</v>
      </c>
      <c r="AX4" s="171" t="s">
        <v>70</v>
      </c>
      <c r="AY4" s="120" t="s">
        <v>71</v>
      </c>
    </row>
    <row r="5" spans="1:51" x14ac:dyDescent="0.35">
      <c r="B5" s="174">
        <f>Tipo!K2</f>
        <v>0</v>
      </c>
      <c r="C5" s="174">
        <f>Tipo!K3</f>
        <v>0</v>
      </c>
      <c r="D5" s="174">
        <f>Tipo!K4</f>
        <v>0</v>
      </c>
      <c r="E5" s="174">
        <f>Tipo!K5</f>
        <v>0</v>
      </c>
      <c r="F5" s="175">
        <f>Tipo!K6</f>
        <v>0</v>
      </c>
      <c r="G5" s="175">
        <f>Tipo!K7</f>
        <v>0</v>
      </c>
      <c r="H5" s="175">
        <f>Tipo!K8</f>
        <v>0</v>
      </c>
      <c r="I5" s="175">
        <f>Tipo!K9</f>
        <v>0.1501714449965795</v>
      </c>
      <c r="J5" s="175">
        <f>Tipo!K10</f>
        <v>0</v>
      </c>
      <c r="K5" s="175">
        <f>Tipo!K11</f>
        <v>0</v>
      </c>
      <c r="L5" s="175">
        <f>Tipo!K12</f>
        <v>0</v>
      </c>
      <c r="M5" s="175">
        <f>Tipo!K13</f>
        <v>3.841411418872164</v>
      </c>
      <c r="N5" s="175">
        <f>Tipo!K14</f>
        <v>0.21450690648870452</v>
      </c>
      <c r="O5" s="175">
        <f>Tipo!K15</f>
        <v>0</v>
      </c>
      <c r="P5" s="175">
        <f>Tipo!K16</f>
        <v>0.1055619063040804</v>
      </c>
      <c r="Q5" s="175">
        <f>Tipo!K17</f>
        <v>0</v>
      </c>
      <c r="R5" s="175">
        <f>Tipo!K18</f>
        <v>8.1418361058686051E-2</v>
      </c>
      <c r="S5" s="175">
        <f>Tipo!K19</f>
        <v>0</v>
      </c>
      <c r="T5" s="175">
        <f>Tipo!K20</f>
        <v>1.638667921488103</v>
      </c>
      <c r="U5" s="175">
        <f>Tipo!K21</f>
        <v>2.7238209590860962</v>
      </c>
      <c r="V5" s="175">
        <f>Tipo!K22</f>
        <v>50.458297333752085</v>
      </c>
      <c r="W5" s="175">
        <f>Tipo!K23</f>
        <v>0</v>
      </c>
      <c r="X5" s="175">
        <f>Tipo!K24</f>
        <v>15.803412148198875</v>
      </c>
      <c r="Y5" s="175">
        <f>Tipo!K25</f>
        <v>0</v>
      </c>
      <c r="Z5" s="175">
        <f>Tipo!K26</f>
        <v>0</v>
      </c>
      <c r="AA5" s="175">
        <f>Tipo!K27</f>
        <v>0</v>
      </c>
      <c r="AB5" s="175">
        <f>Tipo!K28</f>
        <v>5.1967116298873892E-2</v>
      </c>
      <c r="AC5" s="175">
        <f>Tipo!K29</f>
        <v>8.1379637402682814</v>
      </c>
      <c r="AD5" s="175">
        <f>Tipo!K30</f>
        <v>0</v>
      </c>
      <c r="AE5" s="175">
        <f>Tipo!K31</f>
        <v>0.46795091300040659</v>
      </c>
      <c r="AF5" s="175">
        <f>Tipo!K32</f>
        <v>1.054304417643452</v>
      </c>
      <c r="AG5" s="175">
        <f>Tipo!K33</f>
        <v>0</v>
      </c>
      <c r="AH5" s="175">
        <f>Tipo!K34</f>
        <v>0</v>
      </c>
      <c r="AI5" s="175">
        <f>Tipo!K35</f>
        <v>0</v>
      </c>
      <c r="AJ5" s="175">
        <f>Tipo!K36</f>
        <v>0</v>
      </c>
      <c r="AK5" s="175">
        <f>Tipo!K37</f>
        <v>0</v>
      </c>
      <c r="AL5" s="175">
        <f>Tipo!K38</f>
        <v>0</v>
      </c>
      <c r="AM5" s="175">
        <f>Tipo!K39</f>
        <v>0</v>
      </c>
      <c r="AN5" s="175">
        <f>Tipo!K40</f>
        <v>3.5389291890824932</v>
      </c>
      <c r="AO5" s="175">
        <f>Tipo!K41</f>
        <v>0.26109048807938978</v>
      </c>
      <c r="AP5" s="175">
        <f>Tipo!K42</f>
        <v>0</v>
      </c>
      <c r="AQ5" s="175">
        <f>Tipo!K43</f>
        <v>0</v>
      </c>
      <c r="AR5" s="175">
        <f>Tipo!K44</f>
        <v>0</v>
      </c>
      <c r="AS5" s="175">
        <f>Tipo!K45</f>
        <v>0</v>
      </c>
      <c r="AT5" s="175">
        <f>Tipo!K46</f>
        <v>0</v>
      </c>
      <c r="AU5" s="175">
        <f>Tipo!K47</f>
        <v>0.12621727784782316</v>
      </c>
      <c r="AV5" s="175">
        <f>Tipo!K48</f>
        <v>0</v>
      </c>
      <c r="AW5" s="175">
        <f>Tipo!K49</f>
        <v>3.8456433048436178</v>
      </c>
      <c r="AX5" s="175">
        <f>Tipo!K50</f>
        <v>0.1462766261216242</v>
      </c>
      <c r="AY5" s="175">
        <f>Tipo!K51</f>
        <v>1.4790364613762937E-2</v>
      </c>
    </row>
    <row r="23" spans="8:8" x14ac:dyDescent="0.35">
      <c r="H23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0"/>
  <sheetViews>
    <sheetView zoomScaleNormal="100" workbookViewId="0">
      <selection activeCell="A18" sqref="A18"/>
    </sheetView>
  </sheetViews>
  <sheetFormatPr defaultColWidth="11.453125" defaultRowHeight="14.5" x14ac:dyDescent="0.35"/>
  <cols>
    <col min="1" max="1" width="15.453125" bestFit="1" customWidth="1"/>
    <col min="2" max="2" width="14" bestFit="1" customWidth="1"/>
    <col min="3" max="3" width="11" bestFit="1" customWidth="1"/>
    <col min="4" max="4" width="11.08984375" bestFit="1" customWidth="1"/>
    <col min="5" max="5" width="10.54296875" bestFit="1" customWidth="1"/>
    <col min="6" max="6" width="8.6328125" bestFit="1" customWidth="1"/>
    <col min="7" max="9" width="12" bestFit="1" customWidth="1"/>
    <col min="10" max="10" width="5.1796875" bestFit="1" customWidth="1"/>
    <col min="11" max="11" width="8.1796875" bestFit="1" customWidth="1"/>
    <col min="13" max="13" width="16.90625" style="35" bestFit="1" customWidth="1"/>
    <col min="14" max="14" width="14.90625" style="35" customWidth="1"/>
    <col min="15" max="15" width="11.54296875" style="35" customWidth="1"/>
    <col min="16" max="16" width="11.6328125" style="35" bestFit="1" customWidth="1"/>
    <col min="17" max="17" width="11.08984375" style="35" bestFit="1" customWidth="1"/>
    <col min="18" max="18" width="9.08984375" style="35" bestFit="1" customWidth="1"/>
    <col min="19" max="20" width="12" bestFit="1" customWidth="1"/>
    <col min="21" max="21" width="12.453125" bestFit="1" customWidth="1"/>
    <col min="22" max="22" width="5.453125" bestFit="1" customWidth="1"/>
    <col min="23" max="23" width="8.54296875" bestFit="1" customWidth="1"/>
    <col min="27" max="27" width="53.90625" customWidth="1"/>
  </cols>
  <sheetData>
    <row r="1" spans="1:28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</row>
    <row r="2" spans="1:28" x14ac:dyDescent="0.35">
      <c r="A2" t="s">
        <v>134</v>
      </c>
      <c r="B2">
        <v>48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J2">
        <v>0</v>
      </c>
      <c r="K2">
        <v>1</v>
      </c>
    </row>
    <row r="3" spans="1:28" x14ac:dyDescent="0.35">
      <c r="A3" t="s">
        <v>135</v>
      </c>
      <c r="B3">
        <v>9</v>
      </c>
      <c r="C3" t="s">
        <v>17</v>
      </c>
      <c r="D3">
        <v>0</v>
      </c>
      <c r="E3">
        <v>0</v>
      </c>
      <c r="F3">
        <v>0</v>
      </c>
      <c r="G3">
        <v>0</v>
      </c>
      <c r="H3">
        <v>0</v>
      </c>
      <c r="J3">
        <v>0</v>
      </c>
      <c r="K3">
        <v>1</v>
      </c>
    </row>
    <row r="4" spans="1:28" ht="15" thickBot="1" x14ac:dyDescent="0.4">
      <c r="A4" t="s">
        <v>136</v>
      </c>
      <c r="B4">
        <v>10</v>
      </c>
      <c r="C4" t="s">
        <v>19</v>
      </c>
      <c r="D4">
        <v>0</v>
      </c>
      <c r="E4" s="10">
        <v>0</v>
      </c>
      <c r="F4">
        <v>0</v>
      </c>
      <c r="G4">
        <v>0</v>
      </c>
      <c r="H4">
        <v>0</v>
      </c>
      <c r="J4">
        <v>0</v>
      </c>
      <c r="K4">
        <v>1</v>
      </c>
    </row>
    <row r="5" spans="1:28" ht="15" thickBot="1" x14ac:dyDescent="0.4">
      <c r="A5" t="s">
        <v>137</v>
      </c>
      <c r="B5">
        <v>1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J5">
        <v>0</v>
      </c>
      <c r="K5">
        <v>1</v>
      </c>
      <c r="T5" s="193" t="s">
        <v>119</v>
      </c>
      <c r="U5" s="194"/>
      <c r="V5" s="194"/>
      <c r="W5" s="194"/>
      <c r="X5" s="194"/>
      <c r="Y5" s="194"/>
      <c r="Z5" s="194"/>
      <c r="AA5" s="194"/>
      <c r="AB5" s="195"/>
    </row>
    <row r="6" spans="1:28" x14ac:dyDescent="0.35">
      <c r="A6" t="s">
        <v>138</v>
      </c>
      <c r="B6">
        <v>99.984569966842585</v>
      </c>
      <c r="C6" t="s">
        <v>23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1</v>
      </c>
    </row>
    <row r="7" spans="1:28" x14ac:dyDescent="0.35">
      <c r="A7" t="s">
        <v>139</v>
      </c>
      <c r="B7">
        <v>0</v>
      </c>
      <c r="C7" t="s">
        <v>25</v>
      </c>
      <c r="D7">
        <v>0</v>
      </c>
      <c r="E7">
        <v>0</v>
      </c>
      <c r="F7">
        <v>0</v>
      </c>
      <c r="G7">
        <v>0</v>
      </c>
      <c r="H7">
        <v>0</v>
      </c>
      <c r="J7">
        <v>0</v>
      </c>
      <c r="K7">
        <v>1</v>
      </c>
    </row>
    <row r="8" spans="1:28" x14ac:dyDescent="0.35">
      <c r="A8" t="s">
        <v>140</v>
      </c>
      <c r="B8">
        <v>1</v>
      </c>
      <c r="C8" t="s">
        <v>144</v>
      </c>
      <c r="D8">
        <v>0</v>
      </c>
      <c r="E8">
        <v>0</v>
      </c>
      <c r="F8">
        <v>0</v>
      </c>
      <c r="G8">
        <v>0</v>
      </c>
      <c r="H8">
        <v>0</v>
      </c>
      <c r="J8">
        <v>0</v>
      </c>
      <c r="K8">
        <v>1</v>
      </c>
    </row>
    <row r="9" spans="1:28" x14ac:dyDescent="0.35">
      <c r="A9" t="s">
        <v>141</v>
      </c>
      <c r="B9">
        <v>1</v>
      </c>
      <c r="C9" t="s">
        <v>29</v>
      </c>
      <c r="D9">
        <v>0</v>
      </c>
      <c r="E9">
        <v>0</v>
      </c>
      <c r="F9">
        <v>0</v>
      </c>
      <c r="G9">
        <v>20.31431770324707</v>
      </c>
      <c r="H9">
        <v>0.14625063727506785</v>
      </c>
      <c r="J9">
        <v>0</v>
      </c>
      <c r="K9">
        <v>1</v>
      </c>
    </row>
    <row r="10" spans="1:28" x14ac:dyDescent="0.35">
      <c r="A10" t="s">
        <v>142</v>
      </c>
      <c r="B10">
        <v>0</v>
      </c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J10">
        <v>0</v>
      </c>
      <c r="K10">
        <v>1</v>
      </c>
    </row>
    <row r="11" spans="1:28" x14ac:dyDescent="0.35">
      <c r="A11" t="s">
        <v>143</v>
      </c>
      <c r="B11">
        <v>13890.071237802505</v>
      </c>
      <c r="C11" t="s">
        <v>34</v>
      </c>
      <c r="D11">
        <v>0</v>
      </c>
      <c r="E11">
        <v>0</v>
      </c>
      <c r="F11">
        <v>0</v>
      </c>
      <c r="G11">
        <v>0</v>
      </c>
      <c r="H11">
        <v>0</v>
      </c>
      <c r="J11">
        <v>0</v>
      </c>
      <c r="K11">
        <v>1</v>
      </c>
    </row>
    <row r="12" spans="1:28" x14ac:dyDescent="0.35">
      <c r="C12" t="s">
        <v>36</v>
      </c>
      <c r="D12">
        <v>0</v>
      </c>
      <c r="E12">
        <v>0</v>
      </c>
      <c r="F12">
        <v>0</v>
      </c>
      <c r="G12">
        <v>0</v>
      </c>
      <c r="H12">
        <v>0</v>
      </c>
      <c r="J12">
        <v>0</v>
      </c>
      <c r="K12">
        <v>1</v>
      </c>
    </row>
    <row r="13" spans="1:28" x14ac:dyDescent="0.35">
      <c r="C13" t="s">
        <v>37</v>
      </c>
      <c r="D13">
        <v>0</v>
      </c>
      <c r="E13">
        <v>0</v>
      </c>
      <c r="F13">
        <v>0</v>
      </c>
      <c r="G13">
        <v>528.8895263671875</v>
      </c>
      <c r="H13">
        <v>3.807680445351417</v>
      </c>
      <c r="J13">
        <v>0</v>
      </c>
      <c r="K13">
        <v>1</v>
      </c>
    </row>
    <row r="14" spans="1:28" x14ac:dyDescent="0.35">
      <c r="C14" t="s">
        <v>38</v>
      </c>
      <c r="D14">
        <v>0</v>
      </c>
      <c r="E14">
        <v>0</v>
      </c>
      <c r="F14">
        <v>0</v>
      </c>
      <c r="G14">
        <v>29.766155242919922</v>
      </c>
      <c r="H14">
        <v>0.2142980747421214</v>
      </c>
      <c r="J14">
        <v>0</v>
      </c>
      <c r="K14">
        <v>1</v>
      </c>
    </row>
    <row r="15" spans="1:28" x14ac:dyDescent="0.35">
      <c r="C15" t="s">
        <v>111</v>
      </c>
      <c r="D15">
        <v>0</v>
      </c>
      <c r="E15">
        <v>0</v>
      </c>
      <c r="F15">
        <v>0</v>
      </c>
      <c r="G15">
        <v>0</v>
      </c>
      <c r="H15">
        <v>0</v>
      </c>
      <c r="J15">
        <v>0</v>
      </c>
      <c r="K15">
        <v>1</v>
      </c>
    </row>
    <row r="16" spans="1:28" x14ac:dyDescent="0.35">
      <c r="C16" t="s">
        <v>40</v>
      </c>
      <c r="D16">
        <v>0</v>
      </c>
      <c r="E16">
        <v>0</v>
      </c>
      <c r="F16">
        <v>0</v>
      </c>
      <c r="G16">
        <v>14.639885902404785</v>
      </c>
      <c r="H16">
        <v>0.10539820604059699</v>
      </c>
      <c r="J16">
        <v>0</v>
      </c>
      <c r="K16">
        <v>1</v>
      </c>
      <c r="M16" s="59"/>
    </row>
    <row r="17" spans="3:24" x14ac:dyDescent="0.35">
      <c r="C17" t="s">
        <v>112</v>
      </c>
      <c r="D17">
        <v>0</v>
      </c>
      <c r="E17">
        <v>0</v>
      </c>
      <c r="F17">
        <v>0</v>
      </c>
      <c r="G17">
        <v>0</v>
      </c>
      <c r="H17">
        <v>0</v>
      </c>
      <c r="J17">
        <v>0</v>
      </c>
      <c r="K17">
        <v>1</v>
      </c>
    </row>
    <row r="18" spans="3:24" x14ac:dyDescent="0.35">
      <c r="C18" t="s">
        <v>41</v>
      </c>
      <c r="D18">
        <v>0</v>
      </c>
      <c r="E18">
        <v>0</v>
      </c>
      <c r="F18">
        <v>0</v>
      </c>
      <c r="G18">
        <v>11.376916885375977</v>
      </c>
      <c r="H18">
        <v>8.1906828918293401E-2</v>
      </c>
      <c r="J18">
        <v>0</v>
      </c>
      <c r="K18">
        <v>1</v>
      </c>
    </row>
    <row r="19" spans="3:24" x14ac:dyDescent="0.35">
      <c r="C19" t="s">
        <v>118</v>
      </c>
      <c r="D19">
        <v>0</v>
      </c>
      <c r="E19">
        <v>0</v>
      </c>
      <c r="F19">
        <v>0</v>
      </c>
      <c r="G19">
        <v>0</v>
      </c>
      <c r="H19">
        <v>0</v>
      </c>
      <c r="J19">
        <v>0</v>
      </c>
      <c r="K19">
        <v>1</v>
      </c>
    </row>
    <row r="20" spans="3:24" x14ac:dyDescent="0.35">
      <c r="C20" t="s">
        <v>42</v>
      </c>
      <c r="D20">
        <v>0</v>
      </c>
      <c r="E20">
        <v>0</v>
      </c>
      <c r="F20">
        <v>0</v>
      </c>
      <c r="G20">
        <v>228.77030944824219</v>
      </c>
      <c r="H20">
        <v>1.6470060198513068</v>
      </c>
      <c r="J20">
        <v>0</v>
      </c>
      <c r="K20">
        <v>1</v>
      </c>
    </row>
    <row r="21" spans="3:24" x14ac:dyDescent="0.35">
      <c r="C21" t="s">
        <v>145</v>
      </c>
      <c r="D21">
        <v>0</v>
      </c>
      <c r="E21">
        <v>0</v>
      </c>
      <c r="F21">
        <v>0</v>
      </c>
      <c r="G21">
        <v>7094.57080078125</v>
      </c>
      <c r="H21">
        <v>51.076561662787093</v>
      </c>
      <c r="J21">
        <v>0</v>
      </c>
      <c r="K21">
        <v>1</v>
      </c>
    </row>
    <row r="22" spans="3:24" x14ac:dyDescent="0.35">
      <c r="C22" t="s">
        <v>45</v>
      </c>
      <c r="D22">
        <v>0</v>
      </c>
      <c r="E22">
        <v>0</v>
      </c>
      <c r="F22">
        <v>0</v>
      </c>
      <c r="G22">
        <v>382.97647094726563</v>
      </c>
      <c r="H22">
        <v>2.7571958731570541</v>
      </c>
      <c r="J22">
        <v>0</v>
      </c>
      <c r="K22">
        <v>1</v>
      </c>
      <c r="X22" s="10"/>
    </row>
    <row r="23" spans="3:24" x14ac:dyDescent="0.35">
      <c r="C23" t="s">
        <v>48</v>
      </c>
      <c r="D23">
        <v>0</v>
      </c>
      <c r="E23">
        <v>0</v>
      </c>
      <c r="F23">
        <v>0</v>
      </c>
      <c r="G23">
        <v>0</v>
      </c>
      <c r="H23">
        <v>0</v>
      </c>
      <c r="J23">
        <v>0</v>
      </c>
      <c r="K23">
        <v>1</v>
      </c>
    </row>
    <row r="24" spans="3:24" x14ac:dyDescent="0.35">
      <c r="C24" t="s">
        <v>49</v>
      </c>
      <c r="D24">
        <v>0</v>
      </c>
      <c r="E24">
        <v>0</v>
      </c>
      <c r="F24">
        <v>0</v>
      </c>
      <c r="G24">
        <v>2237.945068359375</v>
      </c>
      <c r="H24">
        <v>16.11183290600194</v>
      </c>
      <c r="J24">
        <v>0</v>
      </c>
      <c r="K24">
        <v>1</v>
      </c>
    </row>
    <row r="25" spans="3:24" x14ac:dyDescent="0.35">
      <c r="C25" t="s">
        <v>146</v>
      </c>
      <c r="D25">
        <v>0</v>
      </c>
      <c r="E25">
        <v>0</v>
      </c>
      <c r="F25">
        <v>0</v>
      </c>
      <c r="G25">
        <v>0</v>
      </c>
      <c r="H25">
        <v>0</v>
      </c>
      <c r="J25">
        <v>0</v>
      </c>
      <c r="K25">
        <v>1</v>
      </c>
    </row>
    <row r="26" spans="3:24" x14ac:dyDescent="0.35">
      <c r="C26" t="s">
        <v>113</v>
      </c>
      <c r="D26">
        <v>0</v>
      </c>
      <c r="E26">
        <v>0</v>
      </c>
      <c r="F26">
        <v>0</v>
      </c>
      <c r="G26">
        <v>0</v>
      </c>
      <c r="H26">
        <v>0</v>
      </c>
      <c r="J26">
        <v>0</v>
      </c>
      <c r="K26">
        <v>1</v>
      </c>
    </row>
    <row r="27" spans="3:24" x14ac:dyDescent="0.35">
      <c r="C27" t="s">
        <v>51</v>
      </c>
      <c r="D27">
        <v>0</v>
      </c>
      <c r="E27">
        <v>0</v>
      </c>
      <c r="F27">
        <v>0</v>
      </c>
      <c r="G27">
        <v>0</v>
      </c>
      <c r="H27">
        <v>0</v>
      </c>
      <c r="J27">
        <v>0</v>
      </c>
      <c r="K27">
        <v>1</v>
      </c>
    </row>
    <row r="28" spans="3:24" x14ac:dyDescent="0.35">
      <c r="C28" t="s">
        <v>52</v>
      </c>
      <c r="D28">
        <v>0</v>
      </c>
      <c r="E28">
        <v>0</v>
      </c>
      <c r="F28">
        <v>0</v>
      </c>
      <c r="G28">
        <v>7.4130730628967285</v>
      </c>
      <c r="H28">
        <v>5.3369582747147398E-2</v>
      </c>
      <c r="J28">
        <v>0</v>
      </c>
      <c r="K28">
        <v>1</v>
      </c>
    </row>
    <row r="29" spans="3:24" x14ac:dyDescent="0.35">
      <c r="C29" t="s">
        <v>53</v>
      </c>
      <c r="D29">
        <v>0</v>
      </c>
      <c r="E29">
        <v>0</v>
      </c>
      <c r="F29">
        <v>0</v>
      </c>
      <c r="G29">
        <v>1160.8748779296875</v>
      </c>
      <c r="H29">
        <v>8.3575876469971586</v>
      </c>
      <c r="J29">
        <v>0</v>
      </c>
      <c r="K29">
        <v>1</v>
      </c>
    </row>
    <row r="30" spans="3:24" x14ac:dyDescent="0.35">
      <c r="C30" t="s">
        <v>147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1</v>
      </c>
    </row>
    <row r="31" spans="3:24" x14ac:dyDescent="0.35">
      <c r="C31" t="s">
        <v>55</v>
      </c>
      <c r="D31">
        <v>0</v>
      </c>
      <c r="E31">
        <v>0</v>
      </c>
      <c r="F31">
        <v>0</v>
      </c>
      <c r="G31">
        <v>66.07818603515625</v>
      </c>
      <c r="H31">
        <v>0.47572244161945876</v>
      </c>
      <c r="J31">
        <v>0</v>
      </c>
      <c r="K31">
        <v>1</v>
      </c>
    </row>
    <row r="32" spans="3:24" x14ac:dyDescent="0.35">
      <c r="C32" t="s">
        <v>148</v>
      </c>
      <c r="D32">
        <v>0</v>
      </c>
      <c r="E32">
        <v>0</v>
      </c>
      <c r="F32">
        <v>0</v>
      </c>
      <c r="G32">
        <v>149.83345031738281</v>
      </c>
      <c r="H32">
        <v>1.0787090127342456</v>
      </c>
      <c r="J32">
        <v>0</v>
      </c>
      <c r="K32">
        <v>1</v>
      </c>
    </row>
    <row r="33" spans="3:11" x14ac:dyDescent="0.35">
      <c r="C33" t="s">
        <v>57</v>
      </c>
      <c r="D33">
        <v>0</v>
      </c>
      <c r="E33">
        <v>0</v>
      </c>
      <c r="F33">
        <v>0</v>
      </c>
      <c r="G33">
        <v>0</v>
      </c>
      <c r="H33">
        <v>0</v>
      </c>
      <c r="J33">
        <v>0</v>
      </c>
      <c r="K33">
        <v>1</v>
      </c>
    </row>
    <row r="34" spans="3:11" x14ac:dyDescent="0.35">
      <c r="C34" t="s">
        <v>58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1</v>
      </c>
    </row>
    <row r="35" spans="3:11" x14ac:dyDescent="0.35">
      <c r="C35" t="s">
        <v>59</v>
      </c>
      <c r="D35">
        <v>0</v>
      </c>
      <c r="E35">
        <v>0</v>
      </c>
      <c r="F35">
        <v>0</v>
      </c>
      <c r="G35">
        <v>0</v>
      </c>
      <c r="H35">
        <v>0</v>
      </c>
      <c r="J35">
        <v>0</v>
      </c>
      <c r="K35">
        <v>1</v>
      </c>
    </row>
    <row r="36" spans="3:11" x14ac:dyDescent="0.35">
      <c r="C36" t="s">
        <v>60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1</v>
      </c>
    </row>
    <row r="37" spans="3:11" x14ac:dyDescent="0.35">
      <c r="C37" t="s">
        <v>61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1</v>
      </c>
    </row>
    <row r="38" spans="3:11" x14ac:dyDescent="0.35">
      <c r="C38" t="s">
        <v>62</v>
      </c>
      <c r="D38">
        <v>0</v>
      </c>
      <c r="E38">
        <v>0</v>
      </c>
      <c r="F38">
        <v>0</v>
      </c>
      <c r="G38">
        <v>0</v>
      </c>
      <c r="H38">
        <v>0</v>
      </c>
      <c r="J38">
        <v>0</v>
      </c>
      <c r="K38">
        <v>1</v>
      </c>
    </row>
    <row r="39" spans="3:11" x14ac:dyDescent="0.35">
      <c r="C39" t="s">
        <v>114</v>
      </c>
      <c r="D39">
        <v>0</v>
      </c>
      <c r="E39">
        <v>0</v>
      </c>
      <c r="F39">
        <v>0</v>
      </c>
      <c r="G39">
        <v>0</v>
      </c>
      <c r="H39">
        <v>0</v>
      </c>
      <c r="J39">
        <v>0</v>
      </c>
      <c r="K39">
        <v>1</v>
      </c>
    </row>
    <row r="40" spans="3:11" x14ac:dyDescent="0.35">
      <c r="C40" t="s">
        <v>63</v>
      </c>
      <c r="D40">
        <v>0</v>
      </c>
      <c r="E40">
        <v>0</v>
      </c>
      <c r="F40">
        <v>0</v>
      </c>
      <c r="G40">
        <v>510.78225708007813</v>
      </c>
      <c r="H40">
        <v>3.6773192040222176</v>
      </c>
      <c r="J40">
        <v>0</v>
      </c>
      <c r="K40">
        <v>1</v>
      </c>
    </row>
    <row r="41" spans="3:11" x14ac:dyDescent="0.35">
      <c r="C41" t="s">
        <v>64</v>
      </c>
      <c r="D41">
        <v>0</v>
      </c>
      <c r="E41">
        <v>0</v>
      </c>
      <c r="F41">
        <v>0</v>
      </c>
      <c r="G41">
        <v>37.212299346923828</v>
      </c>
      <c r="H41">
        <v>0.26790574871674339</v>
      </c>
      <c r="J41">
        <v>0</v>
      </c>
      <c r="K41">
        <v>1</v>
      </c>
    </row>
    <row r="42" spans="3:11" x14ac:dyDescent="0.35">
      <c r="C42" t="s">
        <v>65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1</v>
      </c>
    </row>
    <row r="43" spans="3:11" x14ac:dyDescent="0.35">
      <c r="C43" t="s">
        <v>66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1</v>
      </c>
    </row>
    <row r="44" spans="3:11" x14ac:dyDescent="0.35">
      <c r="C44" t="s">
        <v>115</v>
      </c>
      <c r="D44">
        <v>0</v>
      </c>
      <c r="E44">
        <v>0</v>
      </c>
      <c r="F44">
        <v>0</v>
      </c>
      <c r="G44">
        <v>0</v>
      </c>
      <c r="H44">
        <v>0</v>
      </c>
      <c r="J44">
        <v>0</v>
      </c>
      <c r="K44">
        <v>1</v>
      </c>
    </row>
    <row r="45" spans="3:11" x14ac:dyDescent="0.35">
      <c r="C45" t="s">
        <v>67</v>
      </c>
      <c r="D45">
        <v>0</v>
      </c>
      <c r="E45">
        <v>0</v>
      </c>
      <c r="F45">
        <v>0</v>
      </c>
      <c r="G45">
        <v>828.70086669921875</v>
      </c>
      <c r="H45">
        <v>5.9661383481163792</v>
      </c>
      <c r="J45">
        <v>0</v>
      </c>
      <c r="K45">
        <v>1</v>
      </c>
    </row>
    <row r="46" spans="3:11" x14ac:dyDescent="0.35">
      <c r="C46" t="s">
        <v>117</v>
      </c>
      <c r="D46">
        <v>0</v>
      </c>
      <c r="E46">
        <v>0</v>
      </c>
      <c r="F46">
        <v>0</v>
      </c>
      <c r="G46">
        <v>17.822084426879883</v>
      </c>
      <c r="H46">
        <v>0.12830808511893166</v>
      </c>
      <c r="J46">
        <v>0</v>
      </c>
      <c r="K46">
        <v>1</v>
      </c>
    </row>
    <row r="47" spans="3:11" x14ac:dyDescent="0.35">
      <c r="C47" t="s">
        <v>68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1</v>
      </c>
    </row>
    <row r="48" spans="3:11" x14ac:dyDescent="0.35">
      <c r="C48" t="s">
        <v>69</v>
      </c>
      <c r="D48">
        <v>0</v>
      </c>
      <c r="E48">
        <v>0</v>
      </c>
      <c r="F48">
        <v>0</v>
      </c>
      <c r="G48">
        <v>538.8333740234375</v>
      </c>
      <c r="H48">
        <v>3.8792700541158944</v>
      </c>
      <c r="J48">
        <v>0</v>
      </c>
      <c r="K48">
        <v>1</v>
      </c>
    </row>
    <row r="49" spans="3:27" x14ac:dyDescent="0.35">
      <c r="C49" t="s">
        <v>149</v>
      </c>
      <c r="D49">
        <v>0</v>
      </c>
      <c r="E49">
        <v>0</v>
      </c>
      <c r="F49">
        <v>0</v>
      </c>
      <c r="G49">
        <v>21.128074645996094</v>
      </c>
      <c r="H49">
        <v>0.15210918852953764</v>
      </c>
      <c r="J49">
        <v>0</v>
      </c>
      <c r="K49">
        <v>1</v>
      </c>
    </row>
    <row r="50" spans="3:27" x14ac:dyDescent="0.35">
      <c r="M50"/>
      <c r="O50"/>
      <c r="Q50"/>
      <c r="R50"/>
    </row>
    <row r="51" spans="3:27" x14ac:dyDescent="0.35">
      <c r="M51"/>
      <c r="N51"/>
      <c r="O51"/>
      <c r="Q51"/>
      <c r="R51"/>
    </row>
    <row r="55" spans="3:27" ht="15" thickBot="1" x14ac:dyDescent="0.4"/>
    <row r="56" spans="3:27" ht="15" thickBot="1" x14ac:dyDescent="0.4">
      <c r="M56" s="182"/>
      <c r="R56" s="178" t="s">
        <v>74</v>
      </c>
      <c r="S56" s="179">
        <f>(S60/S59)*100</f>
        <v>1.5430033157417044E-2</v>
      </c>
      <c r="AA56" t="s">
        <v>75</v>
      </c>
    </row>
    <row r="57" spans="3:27" x14ac:dyDescent="0.35">
      <c r="R57" s="177" t="s">
        <v>76</v>
      </c>
      <c r="S57" s="185">
        <f>SUM(H1:H51)</f>
        <v>99.984569966842585</v>
      </c>
      <c r="AA57" t="s">
        <v>77</v>
      </c>
    </row>
    <row r="58" spans="3:27" x14ac:dyDescent="0.35">
      <c r="R58" s="36" t="s">
        <v>78</v>
      </c>
      <c r="S58" s="41">
        <f>SUM(G1:G51)</f>
        <v>13887.927995204926</v>
      </c>
      <c r="AA58" t="s">
        <v>79</v>
      </c>
    </row>
    <row r="59" spans="3:27" x14ac:dyDescent="0.35">
      <c r="R59" s="36" t="s">
        <v>80</v>
      </c>
      <c r="S59" s="1">
        <f>100*S58/S57</f>
        <v>13890.071237802507</v>
      </c>
    </row>
    <row r="60" spans="3:27" x14ac:dyDescent="0.35">
      <c r="R60" s="36" t="s">
        <v>81</v>
      </c>
      <c r="S60" s="1">
        <f>S59-S58</f>
        <v>2.143242597581775</v>
      </c>
    </row>
  </sheetData>
  <mergeCells count="1">
    <mergeCell ref="T5:AB5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Tipo</vt:lpstr>
      <vt:lpstr>Resultados</vt:lpstr>
      <vt:lpstr>Concentración C23</vt:lpstr>
      <vt:lpstr>AFOCR_AC_GRASOS_A (CCLAS)</vt:lpstr>
      <vt:lpstr>AFOCR_AC_GRASOS_100G (CCLAS)</vt:lpstr>
      <vt:lpstr>Reporte GC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2026-09-17T00:23:03Z</dcterms:modified>
  <cp:category/>
  <cp:contentStatus/>
</cp:coreProperties>
</file>